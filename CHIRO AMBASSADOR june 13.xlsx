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9600"/>
  </bookViews>
  <sheets>
    <sheet name="unique michu" sheetId="1" r:id="rId1"/>
    <sheet name="retention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2" l="1"/>
  <c r="K41" i="2"/>
  <c r="L41" i="2" s="1"/>
  <c r="J41" i="2"/>
  <c r="I41" i="2"/>
  <c r="G41" i="2"/>
  <c r="K40" i="2"/>
  <c r="G40" i="2"/>
  <c r="J40" i="2" s="1"/>
  <c r="K39" i="2"/>
  <c r="G39" i="2"/>
  <c r="J39" i="2" s="1"/>
  <c r="K38" i="2"/>
  <c r="G38" i="2"/>
  <c r="J38" i="2" s="1"/>
  <c r="L38" i="2" s="1"/>
  <c r="K37" i="2"/>
  <c r="I37" i="2"/>
  <c r="G37" i="2"/>
  <c r="J37" i="2" s="1"/>
  <c r="K36" i="2"/>
  <c r="L36" i="2" s="1"/>
  <c r="J36" i="2"/>
  <c r="G36" i="2"/>
  <c r="I36" i="2" s="1"/>
  <c r="K35" i="2"/>
  <c r="G35" i="2"/>
  <c r="J35" i="2" s="1"/>
  <c r="K34" i="2"/>
  <c r="G34" i="2"/>
  <c r="J34" i="2" s="1"/>
  <c r="L34" i="2" s="1"/>
  <c r="K33" i="2"/>
  <c r="G33" i="2"/>
  <c r="J33" i="2" s="1"/>
  <c r="K32" i="2"/>
  <c r="G32" i="2"/>
  <c r="I32" i="2" s="1"/>
  <c r="K31" i="2"/>
  <c r="G31" i="2"/>
  <c r="J31" i="2" s="1"/>
  <c r="K30" i="2"/>
  <c r="G30" i="2"/>
  <c r="J30" i="2" s="1"/>
  <c r="K29" i="2"/>
  <c r="L29" i="2" s="1"/>
  <c r="J29" i="2"/>
  <c r="I29" i="2"/>
  <c r="G29" i="2"/>
  <c r="K28" i="2"/>
  <c r="G28" i="2"/>
  <c r="J28" i="2" s="1"/>
  <c r="K27" i="2"/>
  <c r="L27" i="2" s="1"/>
  <c r="G27" i="2"/>
  <c r="J27" i="2" s="1"/>
  <c r="K26" i="2"/>
  <c r="G26" i="2"/>
  <c r="J26" i="2" s="1"/>
  <c r="L26" i="2" s="1"/>
  <c r="K25" i="2"/>
  <c r="I25" i="2"/>
  <c r="G25" i="2"/>
  <c r="J25" i="2" s="1"/>
  <c r="K24" i="2"/>
  <c r="L24" i="2" s="1"/>
  <c r="J24" i="2"/>
  <c r="G24" i="2"/>
  <c r="I24" i="2" s="1"/>
  <c r="K23" i="2"/>
  <c r="G23" i="2"/>
  <c r="J23" i="2" s="1"/>
  <c r="K22" i="2"/>
  <c r="G22" i="2"/>
  <c r="J22" i="2" s="1"/>
  <c r="L22" i="2" s="1"/>
  <c r="K21" i="2"/>
  <c r="G21" i="2"/>
  <c r="I21" i="2" s="1"/>
  <c r="K20" i="2"/>
  <c r="G20" i="2"/>
  <c r="I20" i="2" s="1"/>
  <c r="K19" i="2"/>
  <c r="G19" i="2"/>
  <c r="J19" i="2" s="1"/>
  <c r="K18" i="2"/>
  <c r="G18" i="2"/>
  <c r="I18" i="2" s="1"/>
  <c r="K17" i="2"/>
  <c r="L17" i="2" s="1"/>
  <c r="J17" i="2"/>
  <c r="I17" i="2"/>
  <c r="G17" i="2"/>
  <c r="K16" i="2"/>
  <c r="G16" i="2"/>
  <c r="J16" i="2" s="1"/>
  <c r="K15" i="2"/>
  <c r="G15" i="2"/>
  <c r="J15" i="2" s="1"/>
  <c r="K14" i="2"/>
  <c r="G14" i="2"/>
  <c r="I14" i="2" s="1"/>
  <c r="K13" i="2"/>
  <c r="I13" i="2"/>
  <c r="G13" i="2"/>
  <c r="J13" i="2" s="1"/>
  <c r="K12" i="2"/>
  <c r="L12" i="2" s="1"/>
  <c r="J12" i="2"/>
  <c r="G12" i="2"/>
  <c r="I12" i="2" s="1"/>
  <c r="K11" i="2"/>
  <c r="G11" i="2"/>
  <c r="J11" i="2" s="1"/>
  <c r="K10" i="2"/>
  <c r="G10" i="2"/>
  <c r="J10" i="2" s="1"/>
  <c r="K9" i="2"/>
  <c r="G9" i="2"/>
  <c r="I9" i="2" s="1"/>
  <c r="K8" i="2"/>
  <c r="G8" i="2"/>
  <c r="J8" i="2" s="1"/>
  <c r="K7" i="2"/>
  <c r="G7" i="2"/>
  <c r="J7" i="2" s="1"/>
  <c r="K6" i="2"/>
  <c r="G6" i="2"/>
  <c r="I6" i="2" s="1"/>
  <c r="K5" i="2"/>
  <c r="L5" i="2" s="1"/>
  <c r="J5" i="2"/>
  <c r="I5" i="2"/>
  <c r="G5" i="2"/>
  <c r="K4" i="2"/>
  <c r="G4" i="2"/>
  <c r="I4" i="2" s="1"/>
  <c r="L33" i="2" l="1"/>
  <c r="L11" i="2"/>
  <c r="L13" i="2"/>
  <c r="L21" i="2"/>
  <c r="L31" i="2"/>
  <c r="L32" i="2"/>
  <c r="L37" i="2"/>
  <c r="L7" i="2"/>
  <c r="L23" i="2"/>
  <c r="L28" i="2"/>
  <c r="L8" i="2"/>
  <c r="L39" i="2"/>
  <c r="L19" i="2"/>
  <c r="L35" i="2"/>
  <c r="L40" i="2"/>
  <c r="L10" i="2"/>
  <c r="L15" i="2"/>
  <c r="L25" i="2"/>
  <c r="L30" i="2"/>
  <c r="L16" i="2"/>
  <c r="I10" i="2"/>
  <c r="I34" i="2"/>
  <c r="I39" i="2"/>
  <c r="J20" i="2"/>
  <c r="L20" i="2" s="1"/>
  <c r="G42" i="2"/>
  <c r="J6" i="2"/>
  <c r="L6" i="2" s="1"/>
  <c r="I11" i="2"/>
  <c r="J18" i="2"/>
  <c r="L18" i="2" s="1"/>
  <c r="I23" i="2"/>
  <c r="I16" i="2"/>
  <c r="I28" i="2"/>
  <c r="I33" i="2"/>
  <c r="K42" i="2"/>
  <c r="J21" i="2"/>
  <c r="I26" i="2"/>
  <c r="I38" i="2"/>
  <c r="I7" i="2"/>
  <c r="J14" i="2"/>
  <c r="L14" i="2" s="1"/>
  <c r="I19" i="2"/>
  <c r="I31" i="2"/>
  <c r="I15" i="2"/>
  <c r="I27" i="2"/>
  <c r="J32" i="2"/>
  <c r="I30" i="2"/>
  <c r="I35" i="2"/>
  <c r="I40" i="2"/>
  <c r="J4" i="2"/>
  <c r="L4" i="2" s="1"/>
  <c r="J9" i="2"/>
  <c r="L9" i="2" s="1"/>
  <c r="I8" i="2"/>
  <c r="I22" i="2"/>
  <c r="L42" i="2" l="1"/>
  <c r="I42" i="2"/>
  <c r="J42" i="2"/>
  <c r="H42" i="1" l="1"/>
  <c r="G41" i="1" l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I37" i="1" l="1"/>
  <c r="J37" i="1"/>
  <c r="K37" i="1" s="1"/>
  <c r="L37" i="1" s="1"/>
  <c r="I14" i="1"/>
  <c r="J14" i="1"/>
  <c r="K14" i="1" s="1"/>
  <c r="L14" i="1" s="1"/>
  <c r="I26" i="1"/>
  <c r="J26" i="1"/>
  <c r="K26" i="1" s="1"/>
  <c r="L26" i="1" s="1"/>
  <c r="I38" i="1"/>
  <c r="J38" i="1"/>
  <c r="K38" i="1" s="1"/>
  <c r="L38" i="1" s="1"/>
  <c r="I15" i="1"/>
  <c r="J15" i="1"/>
  <c r="K15" i="1" s="1"/>
  <c r="L15" i="1" s="1"/>
  <c r="I27" i="1"/>
  <c r="J27" i="1"/>
  <c r="K27" i="1" s="1"/>
  <c r="L27" i="1" s="1"/>
  <c r="I39" i="1"/>
  <c r="J39" i="1"/>
  <c r="K39" i="1" s="1"/>
  <c r="L39" i="1" s="1"/>
  <c r="I17" i="1"/>
  <c r="J17" i="1"/>
  <c r="K17" i="1" s="1"/>
  <c r="L17" i="1" s="1"/>
  <c r="I29" i="1"/>
  <c r="J29" i="1"/>
  <c r="K29" i="1" s="1"/>
  <c r="L29" i="1" s="1"/>
  <c r="I41" i="1"/>
  <c r="J41" i="1"/>
  <c r="K41" i="1" s="1"/>
  <c r="L41" i="1" s="1"/>
  <c r="I19" i="1"/>
  <c r="J19" i="1"/>
  <c r="K19" i="1" s="1"/>
  <c r="L19" i="1" s="1"/>
  <c r="I20" i="1"/>
  <c r="J20" i="1"/>
  <c r="K20" i="1" s="1"/>
  <c r="L20" i="1" s="1"/>
  <c r="I21" i="1"/>
  <c r="J21" i="1"/>
  <c r="K21" i="1" s="1"/>
  <c r="L21" i="1" s="1"/>
  <c r="I11" i="1"/>
  <c r="J11" i="1"/>
  <c r="K11" i="1" s="1"/>
  <c r="L11" i="1" s="1"/>
  <c r="I23" i="1"/>
  <c r="J23" i="1"/>
  <c r="K23" i="1" s="1"/>
  <c r="L23" i="1" s="1"/>
  <c r="I35" i="1"/>
  <c r="J35" i="1"/>
  <c r="K35" i="1" s="1"/>
  <c r="L35" i="1" s="1"/>
  <c r="I12" i="1"/>
  <c r="J12" i="1"/>
  <c r="K12" i="1" s="1"/>
  <c r="L12" i="1" s="1"/>
  <c r="I24" i="1"/>
  <c r="J24" i="1"/>
  <c r="K24" i="1" s="1"/>
  <c r="L24" i="1" s="1"/>
  <c r="I36" i="1"/>
  <c r="J36" i="1"/>
  <c r="K36" i="1" s="1"/>
  <c r="L36" i="1" s="1"/>
  <c r="I13" i="1"/>
  <c r="J13" i="1"/>
  <c r="K13" i="1" s="1"/>
  <c r="L13" i="1" s="1"/>
  <c r="I25" i="1"/>
  <c r="J25" i="1"/>
  <c r="K25" i="1" s="1"/>
  <c r="L25" i="1" s="1"/>
  <c r="I4" i="1"/>
  <c r="J4" i="1"/>
  <c r="K4" i="1" s="1"/>
  <c r="L4" i="1" s="1"/>
  <c r="I16" i="1"/>
  <c r="J16" i="1"/>
  <c r="K16" i="1" s="1"/>
  <c r="L16" i="1" s="1"/>
  <c r="I28" i="1"/>
  <c r="J28" i="1"/>
  <c r="K28" i="1" s="1"/>
  <c r="L28" i="1" s="1"/>
  <c r="I40" i="1"/>
  <c r="J40" i="1"/>
  <c r="K40" i="1" s="1"/>
  <c r="L40" i="1" s="1"/>
  <c r="I5" i="1"/>
  <c r="J5" i="1"/>
  <c r="K5" i="1" s="1"/>
  <c r="L5" i="1" s="1"/>
  <c r="I6" i="1"/>
  <c r="J6" i="1"/>
  <c r="K6" i="1" s="1"/>
  <c r="L6" i="1" s="1"/>
  <c r="I18" i="1"/>
  <c r="J18" i="1"/>
  <c r="K18" i="1" s="1"/>
  <c r="L18" i="1" s="1"/>
  <c r="I30" i="1"/>
  <c r="J30" i="1"/>
  <c r="K30" i="1" s="1"/>
  <c r="L30" i="1" s="1"/>
  <c r="I7" i="1"/>
  <c r="J7" i="1"/>
  <c r="K7" i="1" s="1"/>
  <c r="L7" i="1" s="1"/>
  <c r="I31" i="1"/>
  <c r="J31" i="1"/>
  <c r="K31" i="1" s="1"/>
  <c r="L31" i="1" s="1"/>
  <c r="I8" i="1"/>
  <c r="J8" i="1"/>
  <c r="K8" i="1" s="1"/>
  <c r="L8" i="1" s="1"/>
  <c r="I32" i="1"/>
  <c r="J32" i="1"/>
  <c r="K32" i="1" s="1"/>
  <c r="L32" i="1" s="1"/>
  <c r="I9" i="1"/>
  <c r="J9" i="1"/>
  <c r="K9" i="1" s="1"/>
  <c r="L9" i="1" s="1"/>
  <c r="I33" i="1"/>
  <c r="J33" i="1"/>
  <c r="K33" i="1" s="1"/>
  <c r="L33" i="1" s="1"/>
  <c r="I10" i="1"/>
  <c r="J10" i="1"/>
  <c r="K10" i="1" s="1"/>
  <c r="L10" i="1" s="1"/>
  <c r="I22" i="1"/>
  <c r="J22" i="1"/>
  <c r="K22" i="1" s="1"/>
  <c r="L22" i="1" s="1"/>
  <c r="I34" i="1"/>
  <c r="J34" i="1"/>
  <c r="K34" i="1" s="1"/>
  <c r="L34" i="1" s="1"/>
</calcChain>
</file>

<file path=xl/sharedStrings.xml><?xml version="1.0" encoding="utf-8"?>
<sst xmlns="http://schemas.openxmlformats.org/spreadsheetml/2006/main" count="331" uniqueCount="134">
  <si>
    <t>Position</t>
  </si>
  <si>
    <t>Branch Name</t>
  </si>
  <si>
    <t>Anchar</t>
  </si>
  <si>
    <t>Al Bukhari</t>
  </si>
  <si>
    <t xml:space="preserve">Arba Eco </t>
  </si>
  <si>
    <t>Assebot</t>
  </si>
  <si>
    <t>Baroda</t>
  </si>
  <si>
    <t>Bedessa</t>
  </si>
  <si>
    <t>Boke Tiko</t>
  </si>
  <si>
    <t xml:space="preserve">Bordode Eco </t>
  </si>
  <si>
    <t>Burqa Dhintu</t>
  </si>
  <si>
    <t>Chiro</t>
  </si>
  <si>
    <t>Deder</t>
  </si>
  <si>
    <t xml:space="preserve">Defo Eco </t>
  </si>
  <si>
    <t>Dhumuga</t>
  </si>
  <si>
    <t>Doba</t>
  </si>
  <si>
    <t>Furqan</t>
  </si>
  <si>
    <t xml:space="preserve">Gara Muktar Eco </t>
  </si>
  <si>
    <t>Garu hira</t>
  </si>
  <si>
    <t>Gelemso</t>
  </si>
  <si>
    <t>Gemechis</t>
  </si>
  <si>
    <t xml:space="preserve">Hardim Eco </t>
  </si>
  <si>
    <t>Haro Chercher</t>
  </si>
  <si>
    <t>Hirna</t>
  </si>
  <si>
    <t>Jaja</t>
  </si>
  <si>
    <t>Kamona</t>
  </si>
  <si>
    <t xml:space="preserve">Kara Makala Eco </t>
  </si>
  <si>
    <t>Kara Mile</t>
  </si>
  <si>
    <t>Kobo</t>
  </si>
  <si>
    <t>Mechara</t>
  </si>
  <si>
    <t>Melka Balo</t>
  </si>
  <si>
    <t>Michata</t>
  </si>
  <si>
    <t>Miesso</t>
  </si>
  <si>
    <t>Milqaye</t>
  </si>
  <si>
    <t>Murtiguto</t>
  </si>
  <si>
    <t>Oda Bultum</t>
  </si>
  <si>
    <t>Sheik Moh. Reshad</t>
  </si>
  <si>
    <t>Shenen dhugo</t>
  </si>
  <si>
    <t>Soqa</t>
  </si>
  <si>
    <t>Tullo</t>
  </si>
  <si>
    <t>Mohammed Haseno Musse</t>
  </si>
  <si>
    <t>CSO</t>
  </si>
  <si>
    <t>Ahmed Shehu Ahmed</t>
  </si>
  <si>
    <t>Asfaw Dadi Yadate</t>
  </si>
  <si>
    <t>Yohannis Semegn Tsegaye</t>
  </si>
  <si>
    <t>Tajo Ahmed Seido</t>
  </si>
  <si>
    <t>Kedir Mustefa Hamid</t>
  </si>
  <si>
    <t>Mari Wubishet Siyum</t>
  </si>
  <si>
    <t>Mohammed Abdulkerim Teha</t>
  </si>
  <si>
    <t>Nasir Mohammed Abdela</t>
  </si>
  <si>
    <t>Anteneh Tensay Bizane</t>
  </si>
  <si>
    <t>Ibrahim Mora Husen</t>
  </si>
  <si>
    <t>Ahmedin Abdela Sadik</t>
  </si>
  <si>
    <t>Abdurehman Aliyi Ame</t>
  </si>
  <si>
    <t>Awel Abu Nebi</t>
  </si>
  <si>
    <t>Kefalo Wogayo Asefa</t>
  </si>
  <si>
    <t>Ahmed Mohammed Aliyi</t>
  </si>
  <si>
    <t>mohammed yusuf ame</t>
  </si>
  <si>
    <t>Kasim Nure Adem</t>
  </si>
  <si>
    <t>Lema Tibebe Mamo</t>
  </si>
  <si>
    <t>Mustefa Jorro Deliyyo</t>
  </si>
  <si>
    <t>Gadisa Hassen Hullo</t>
  </si>
  <si>
    <t>Bushera Nejash Sani</t>
  </si>
  <si>
    <t>Seid Temam Siraj</t>
  </si>
  <si>
    <t>Ahmed Adem Abdulle</t>
  </si>
  <si>
    <t>Elias Hailemariam Tufa</t>
  </si>
  <si>
    <t>Phone</t>
  </si>
  <si>
    <t>251919080099</t>
  </si>
  <si>
    <t>251914962897</t>
  </si>
  <si>
    <t>251987341159</t>
  </si>
  <si>
    <t>251949418992</t>
  </si>
  <si>
    <t>251933171729</t>
  </si>
  <si>
    <t>251932156791</t>
  </si>
  <si>
    <t>251947192106</t>
  </si>
  <si>
    <t>251922161437</t>
  </si>
  <si>
    <t>251963231444</t>
  </si>
  <si>
    <t>251983740280</t>
  </si>
  <si>
    <t>251932440086</t>
  </si>
  <si>
    <t>251914123215</t>
  </si>
  <si>
    <t>251909892356</t>
  </si>
  <si>
    <t>251915829393</t>
  </si>
  <si>
    <t>251923292585</t>
  </si>
  <si>
    <t>251921447807</t>
  </si>
  <si>
    <t>251919080455</t>
  </si>
  <si>
    <t>251983731015</t>
  </si>
  <si>
    <t>0933344880</t>
  </si>
  <si>
    <t>251911276252</t>
  </si>
  <si>
    <t>251927851950</t>
  </si>
  <si>
    <t>251934046483</t>
  </si>
  <si>
    <t>D.Target</t>
  </si>
  <si>
    <t>D.Actual</t>
  </si>
  <si>
    <t>DaiLY %Age</t>
  </si>
  <si>
    <t xml:space="preserve"> -   </t>
  </si>
  <si>
    <t>S/N</t>
  </si>
  <si>
    <t>Chiro District Unique Michu Ambassador Performance Record Sheet</t>
  </si>
  <si>
    <t>Grand Total</t>
  </si>
  <si>
    <t>Nejash Abrahim Aliyi</t>
  </si>
  <si>
    <t>Dursa Dino</t>
  </si>
  <si>
    <t>SALADIN ABDI USMAIL</t>
  </si>
  <si>
    <t xml:space="preserve"> JEMAL ADEM</t>
  </si>
  <si>
    <t>Ephrem Dagne Mersha</t>
  </si>
  <si>
    <t>Kedir Mohammed Ahmed</t>
  </si>
  <si>
    <t xml:space="preserve">Mifta Mama Fato  </t>
  </si>
  <si>
    <t>Mustefa Abdula Yusufe</t>
  </si>
  <si>
    <t>Edilawit Ayinalem Worku</t>
  </si>
  <si>
    <t>251921153337</t>
  </si>
  <si>
    <t>Misrak Shumu Gosa</t>
  </si>
  <si>
    <t>0.912444254</t>
  </si>
  <si>
    <t>251975457142</t>
  </si>
  <si>
    <t>251910191225</t>
  </si>
  <si>
    <t>Aschalew Negash Guta &amp;Genet Reta Tsegaye</t>
  </si>
  <si>
    <t>251936456068 &amp;251915164952</t>
  </si>
  <si>
    <t>251949707099</t>
  </si>
  <si>
    <t>251906167024</t>
  </si>
  <si>
    <t>251917705134</t>
  </si>
  <si>
    <t>Wabi Waltaji Amaro</t>
  </si>
  <si>
    <t>251930937342</t>
  </si>
  <si>
    <t>251931350766</t>
  </si>
  <si>
    <t>251912059836</t>
  </si>
  <si>
    <t>251991287244</t>
  </si>
  <si>
    <t>Dhugomsaa Abdela Mume</t>
  </si>
  <si>
    <t>251918888912</t>
  </si>
  <si>
    <t xml:space="preserve">Ambassador Name </t>
  </si>
  <si>
    <t>Chiro District Retention Michu Ambassador Performance Record Sheet</t>
  </si>
  <si>
    <t xml:space="preserve">Employee Name </t>
  </si>
  <si>
    <t>june  Target</t>
  </si>
  <si>
    <t>june .TDT</t>
  </si>
  <si>
    <t>june.TDA</t>
  </si>
  <si>
    <t>june .TD%</t>
  </si>
  <si>
    <t>june Target</t>
  </si>
  <si>
    <t>june .TDA</t>
  </si>
  <si>
    <t>june.TD%</t>
  </si>
  <si>
    <t>As Of june   13,2026</t>
  </si>
  <si>
    <t>As Of june 13,2026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</si>
</sst>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9"/>
      <color rgb="FF000000"/>
      <name val="Trebuchet MS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left"/>
    </xf>
    <xf numFmtId="0" fontId="0" fillId="3" borderId="1" xfId="0" applyFont="1" applyFill="1" applyBorder="1"/>
    <xf numFmtId="0" fontId="0" fillId="0" borderId="0" xfId="0" quotePrefix="1"/>
    <xf numFmtId="0" fontId="0" fillId="0" borderId="1" xfId="0" quotePrefix="1" applyBorder="1"/>
    <xf numFmtId="0" fontId="1" fillId="0" borderId="1" xfId="0" quotePrefix="1" applyFont="1" applyBorder="1" applyAlignment="1">
      <alignment horizontal="left"/>
    </xf>
    <xf numFmtId="0" fontId="0" fillId="0" borderId="2" xfId="0" quotePrefix="1" applyFill="1" applyBorder="1"/>
    <xf numFmtId="1" fontId="2" fillId="0" borderId="1" xfId="0" applyNumberFormat="1" applyFont="1" applyBorder="1" applyAlignment="1">
      <alignment horizontal="left"/>
    </xf>
    <xf numFmtId="0" fontId="0" fillId="0" borderId="3" xfId="0" applyBorder="1"/>
    <xf numFmtId="1" fontId="0" fillId="0" borderId="1" xfId="0" applyNumberFormat="1" applyBorder="1"/>
    <xf numFmtId="0" fontId="0" fillId="2" borderId="3" xfId="0" applyFill="1" applyBorder="1" applyAlignment="1">
      <alignment horizontal="center" vertical="top" wrapText="1"/>
    </xf>
    <xf numFmtId="0" fontId="0" fillId="2" borderId="3" xfId="0" applyFill="1" applyBorder="1" applyAlignment="1">
      <alignment vertical="top"/>
    </xf>
    <xf numFmtId="0" fontId="0" fillId="2" borderId="1" xfId="0" applyFill="1" applyBorder="1" applyAlignment="1">
      <alignment horizontal="center" vertical="top" wrapText="1"/>
    </xf>
    <xf numFmtId="1" fontId="0" fillId="0" borderId="3" xfId="0" applyNumberFormat="1" applyBorder="1"/>
    <xf numFmtId="0" fontId="0" fillId="0" borderId="3" xfId="0" quotePrefix="1" applyBorder="1"/>
    <xf numFmtId="10" fontId="0" fillId="0" borderId="0" xfId="0" applyNumberFormat="1"/>
    <xf numFmtId="1" fontId="0" fillId="0" borderId="1" xfId="0" applyNumberFormat="1" applyFill="1" applyBorder="1"/>
    <xf numFmtId="0" fontId="0" fillId="0" borderId="1" xfId="0" applyFill="1" applyBorder="1"/>
    <xf numFmtId="0" fontId="0" fillId="0" borderId="3" xfId="0" applyFill="1" applyBorder="1" applyAlignment="1">
      <alignment horizontal="center" vertical="top" wrapText="1"/>
    </xf>
    <xf numFmtId="0" fontId="6" fillId="0" borderId="7" xfId="0" applyFont="1" applyFill="1" applyBorder="1"/>
    <xf numFmtId="0" fontId="2" fillId="4" borderId="1" xfId="0" applyFont="1" applyFill="1" applyBorder="1"/>
    <xf numFmtId="43" fontId="10" fillId="0" borderId="1" xfId="3" applyFont="1" applyFill="1" applyBorder="1" applyAlignment="1">
      <alignment vertical="center"/>
    </xf>
    <xf numFmtId="43" fontId="0" fillId="0" borderId="1" xfId="3" applyFont="1" applyBorder="1"/>
    <xf numFmtId="43" fontId="0" fillId="0" borderId="0" xfId="3" applyFont="1"/>
    <xf numFmtId="0" fontId="9" fillId="0" borderId="1" xfId="0" applyFont="1" applyBorder="1"/>
    <xf numFmtId="43" fontId="0" fillId="0" borderId="3" xfId="3" applyFont="1" applyBorder="1"/>
    <xf numFmtId="43" fontId="9" fillId="0" borderId="1" xfId="3" applyFont="1" applyBorder="1"/>
    <xf numFmtId="43" fontId="9" fillId="0" borderId="1" xfId="3" applyFont="1" applyFill="1" applyBorder="1"/>
    <xf numFmtId="1" fontId="9" fillId="0" borderId="1" xfId="0" applyNumberFormat="1" applyFont="1" applyFill="1" applyBorder="1"/>
    <xf numFmtId="0" fontId="7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7" fillId="4" borderId="1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</cellXfs>
  <cellStyles count="4">
    <cellStyle name="Comma" xfId="3" builtinId="3"/>
    <cellStyle name="Comma 3" xfId="2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R42"/>
  <sheetViews>
    <sheetView tabSelected="1" topLeftCell="A25" zoomScale="85" zoomScaleNormal="85" workbookViewId="0">
      <selection activeCell="A4" sqref="A4:H41"/>
    </sheetView>
  </sheetViews>
  <sheetFormatPr defaultRowHeight="15" x14ac:dyDescent="0.25"/>
  <cols>
    <col min="2" max="2" width="18" bestFit="1" customWidth="1"/>
    <col min="3" max="3" width="40" customWidth="1"/>
    <col min="4" max="4" width="27.42578125" customWidth="1"/>
    <col min="5" max="5" width="9" customWidth="1"/>
    <col min="6" max="6" width="7.42578125" customWidth="1"/>
    <col min="7" max="7" width="9.5703125" customWidth="1"/>
    <col min="8" max="8" width="5.42578125" customWidth="1"/>
    <col min="9" max="9" width="8.28515625" customWidth="1"/>
    <col min="10" max="10" width="9.42578125" customWidth="1"/>
    <col min="11" max="11" width="9.7109375" customWidth="1"/>
    <col min="12" max="12" width="9.85546875" customWidth="1"/>
    <col min="15" max="15" width="13.28515625" customWidth="1"/>
  </cols>
  <sheetData>
    <row r="1" spans="1:18" ht="15.75" x14ac:dyDescent="0.25">
      <c r="A1" s="36" t="s">
        <v>94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8" ht="15.75" x14ac:dyDescent="0.25">
      <c r="A2" s="35" t="s">
        <v>132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8" ht="30" x14ac:dyDescent="0.25">
      <c r="A3" s="2" t="s">
        <v>93</v>
      </c>
      <c r="B3" s="2" t="s">
        <v>1</v>
      </c>
      <c r="C3" s="2" t="s">
        <v>122</v>
      </c>
      <c r="D3" s="2" t="s">
        <v>66</v>
      </c>
      <c r="E3" s="2" t="s">
        <v>0</v>
      </c>
      <c r="F3" s="14" t="s">
        <v>125</v>
      </c>
      <c r="G3" s="14" t="s">
        <v>89</v>
      </c>
      <c r="H3" s="20" t="s">
        <v>90</v>
      </c>
      <c r="I3" s="12" t="s">
        <v>91</v>
      </c>
      <c r="J3" s="13" t="s">
        <v>126</v>
      </c>
      <c r="K3" s="14" t="s">
        <v>127</v>
      </c>
      <c r="L3" s="14" t="s">
        <v>128</v>
      </c>
    </row>
    <row r="4" spans="1:18" x14ac:dyDescent="0.25">
      <c r="A4" s="1">
        <v>1</v>
      </c>
      <c r="B4" s="1" t="s">
        <v>3</v>
      </c>
      <c r="C4" s="1" t="s">
        <v>40</v>
      </c>
      <c r="D4" s="5" t="s">
        <v>67</v>
      </c>
      <c r="E4" s="1" t="s">
        <v>41</v>
      </c>
      <c r="F4" s="1">
        <v>60</v>
      </c>
      <c r="G4" s="11">
        <f>F4/26</f>
        <v>2.3076923076923075</v>
      </c>
      <c r="H4" s="32"/>
      <c r="I4" s="18">
        <f>H4/G4*100</f>
        <v>0</v>
      </c>
      <c r="J4" s="11">
        <f>G4*23</f>
        <v>53.076923076923073</v>
      </c>
      <c r="K4" s="11">
        <f>H4-J4</f>
        <v>-53.076923076923073</v>
      </c>
      <c r="L4" s="1">
        <f>K4/J4*100</f>
        <v>-100</v>
      </c>
      <c r="R4" s="17"/>
    </row>
    <row r="5" spans="1:18" x14ac:dyDescent="0.25">
      <c r="A5" s="1">
        <v>2</v>
      </c>
      <c r="B5" s="1" t="s">
        <v>2</v>
      </c>
      <c r="C5" s="4" t="s">
        <v>65</v>
      </c>
      <c r="D5" s="5" t="s">
        <v>68</v>
      </c>
      <c r="E5" s="1" t="s">
        <v>41</v>
      </c>
      <c r="F5" s="1">
        <v>6</v>
      </c>
      <c r="G5" s="11">
        <f t="shared" ref="G5:G41" si="0">F5/26</f>
        <v>0.23076923076923078</v>
      </c>
      <c r="H5" s="32"/>
      <c r="I5" s="18">
        <f t="shared" ref="I5:I41" si="1">H5/G5*100</f>
        <v>0</v>
      </c>
      <c r="J5" s="11">
        <f t="shared" ref="J5:J41" si="2">G5*23</f>
        <v>5.3076923076923084</v>
      </c>
      <c r="K5" s="11">
        <f t="shared" ref="K5:K41" si="3">H5-J5</f>
        <v>-5.3076923076923084</v>
      </c>
      <c r="L5" s="1">
        <f t="shared" ref="L5:L41" si="4">K5/J5*100</f>
        <v>-100</v>
      </c>
      <c r="R5" s="17"/>
    </row>
    <row r="6" spans="1:18" x14ac:dyDescent="0.25">
      <c r="A6" s="1">
        <v>3</v>
      </c>
      <c r="B6" s="1" t="s">
        <v>4</v>
      </c>
      <c r="C6" s="1" t="s">
        <v>96</v>
      </c>
      <c r="D6" s="5" t="s">
        <v>105</v>
      </c>
      <c r="E6" s="1" t="s">
        <v>41</v>
      </c>
      <c r="F6" s="1">
        <v>54</v>
      </c>
      <c r="G6" s="11">
        <f t="shared" si="0"/>
        <v>2.0769230769230771</v>
      </c>
      <c r="H6" s="32"/>
      <c r="I6" s="18">
        <f t="shared" si="1"/>
        <v>0</v>
      </c>
      <c r="J6" s="11">
        <f t="shared" si="2"/>
        <v>47.769230769230774</v>
      </c>
      <c r="K6" s="11">
        <f t="shared" si="3"/>
        <v>-47.769230769230774</v>
      </c>
      <c r="L6" s="1">
        <f t="shared" si="4"/>
        <v>-100</v>
      </c>
      <c r="R6" s="17"/>
    </row>
    <row r="7" spans="1:18" x14ac:dyDescent="0.25">
      <c r="A7" s="1">
        <v>4</v>
      </c>
      <c r="B7" s="1" t="s">
        <v>5</v>
      </c>
      <c r="C7" s="1" t="s">
        <v>42</v>
      </c>
      <c r="D7" s="9">
        <v>251946167968</v>
      </c>
      <c r="E7" s="1" t="s">
        <v>41</v>
      </c>
      <c r="F7" s="1">
        <v>90</v>
      </c>
      <c r="G7" s="11">
        <f t="shared" si="0"/>
        <v>3.4615384615384617</v>
      </c>
      <c r="H7" s="22"/>
      <c r="I7" s="18">
        <f t="shared" si="1"/>
        <v>0</v>
      </c>
      <c r="J7" s="11">
        <f t="shared" si="2"/>
        <v>79.615384615384613</v>
      </c>
      <c r="K7" s="11">
        <f t="shared" si="3"/>
        <v>-79.615384615384613</v>
      </c>
      <c r="L7" s="1">
        <f t="shared" si="4"/>
        <v>-100</v>
      </c>
      <c r="R7" s="17"/>
    </row>
    <row r="8" spans="1:18" x14ac:dyDescent="0.25">
      <c r="A8" s="1">
        <v>5</v>
      </c>
      <c r="B8" s="1" t="s">
        <v>6</v>
      </c>
      <c r="C8" s="1" t="s">
        <v>43</v>
      </c>
      <c r="D8" s="5" t="s">
        <v>69</v>
      </c>
      <c r="E8" s="1" t="s">
        <v>41</v>
      </c>
      <c r="F8" s="1">
        <v>135</v>
      </c>
      <c r="G8" s="11">
        <f t="shared" si="0"/>
        <v>5.1923076923076925</v>
      </c>
      <c r="H8" s="31"/>
      <c r="I8" s="18">
        <f t="shared" si="1"/>
        <v>0</v>
      </c>
      <c r="J8" s="11">
        <f t="shared" si="2"/>
        <v>119.42307692307693</v>
      </c>
      <c r="K8" s="11">
        <f t="shared" si="3"/>
        <v>-119.42307692307693</v>
      </c>
      <c r="L8" s="1">
        <f t="shared" si="4"/>
        <v>-100</v>
      </c>
      <c r="R8" s="17"/>
    </row>
    <row r="9" spans="1:18" x14ac:dyDescent="0.25">
      <c r="A9" s="1">
        <v>6</v>
      </c>
      <c r="B9" s="1" t="s">
        <v>7</v>
      </c>
      <c r="C9" s="1" t="s">
        <v>44</v>
      </c>
      <c r="D9" s="6" t="s">
        <v>70</v>
      </c>
      <c r="E9" s="1" t="s">
        <v>41</v>
      </c>
      <c r="F9" s="1">
        <v>90</v>
      </c>
      <c r="G9" s="11">
        <f t="shared" si="0"/>
        <v>3.4615384615384617</v>
      </c>
      <c r="H9" s="31"/>
      <c r="I9" s="18">
        <f t="shared" si="1"/>
        <v>0</v>
      </c>
      <c r="J9" s="11">
        <f t="shared" si="2"/>
        <v>79.615384615384613</v>
      </c>
      <c r="K9" s="11">
        <f t="shared" si="3"/>
        <v>-79.615384615384613</v>
      </c>
      <c r="L9" s="1">
        <f t="shared" si="4"/>
        <v>-100</v>
      </c>
      <c r="R9" s="17"/>
    </row>
    <row r="10" spans="1:18" x14ac:dyDescent="0.25">
      <c r="A10" s="1">
        <v>7</v>
      </c>
      <c r="B10" s="1" t="s">
        <v>8</v>
      </c>
      <c r="C10" s="1" t="s">
        <v>45</v>
      </c>
      <c r="D10" s="6" t="s">
        <v>71</v>
      </c>
      <c r="E10" s="1" t="s">
        <v>41</v>
      </c>
      <c r="F10" s="1">
        <v>6</v>
      </c>
      <c r="G10" s="11">
        <f t="shared" si="0"/>
        <v>0.23076923076923078</v>
      </c>
      <c r="H10" s="31"/>
      <c r="I10" s="18">
        <f t="shared" si="1"/>
        <v>0</v>
      </c>
      <c r="J10" s="11">
        <f t="shared" si="2"/>
        <v>5.3076923076923084</v>
      </c>
      <c r="K10" s="11">
        <f t="shared" si="3"/>
        <v>-5.3076923076923084</v>
      </c>
      <c r="L10" s="1">
        <f t="shared" si="4"/>
        <v>-100</v>
      </c>
      <c r="R10" s="17"/>
    </row>
    <row r="11" spans="1:18" x14ac:dyDescent="0.25">
      <c r="A11" s="1">
        <v>8</v>
      </c>
      <c r="B11" s="1" t="s">
        <v>9</v>
      </c>
      <c r="C11" s="1" t="s">
        <v>46</v>
      </c>
      <c r="D11" s="9">
        <v>251932401839</v>
      </c>
      <c r="E11" s="1" t="s">
        <v>41</v>
      </c>
      <c r="F11" s="1">
        <v>30</v>
      </c>
      <c r="G11" s="11">
        <f t="shared" si="0"/>
        <v>1.1538461538461537</v>
      </c>
      <c r="H11" s="31"/>
      <c r="I11" s="18">
        <f t="shared" si="1"/>
        <v>0</v>
      </c>
      <c r="J11" s="11">
        <f t="shared" si="2"/>
        <v>26.538461538461537</v>
      </c>
      <c r="K11" s="11">
        <f t="shared" si="3"/>
        <v>-26.538461538461537</v>
      </c>
      <c r="L11" s="1">
        <f t="shared" si="4"/>
        <v>-100</v>
      </c>
      <c r="R11" s="17"/>
    </row>
    <row r="12" spans="1:18" x14ac:dyDescent="0.25">
      <c r="A12" s="1">
        <v>9</v>
      </c>
      <c r="B12" s="1" t="s">
        <v>10</v>
      </c>
      <c r="C12" s="1" t="s">
        <v>47</v>
      </c>
      <c r="D12" s="6" t="s">
        <v>72</v>
      </c>
      <c r="E12" s="1" t="s">
        <v>41</v>
      </c>
      <c r="F12" s="1">
        <v>150</v>
      </c>
      <c r="G12" s="11">
        <f t="shared" si="0"/>
        <v>5.7692307692307692</v>
      </c>
      <c r="H12" s="33">
        <v>1</v>
      </c>
      <c r="I12" s="18">
        <f t="shared" si="1"/>
        <v>17.333333333333336</v>
      </c>
      <c r="J12" s="11">
        <f t="shared" si="2"/>
        <v>132.69230769230768</v>
      </c>
      <c r="K12" s="11">
        <f t="shared" si="3"/>
        <v>-131.69230769230768</v>
      </c>
      <c r="L12" s="1">
        <f t="shared" si="4"/>
        <v>-99.246376811594203</v>
      </c>
    </row>
    <row r="13" spans="1:18" x14ac:dyDescent="0.25">
      <c r="A13" s="1">
        <v>10</v>
      </c>
      <c r="B13" s="1" t="s">
        <v>11</v>
      </c>
      <c r="C13" t="s">
        <v>106</v>
      </c>
      <c r="D13" s="5" t="s">
        <v>107</v>
      </c>
      <c r="E13" s="1" t="s">
        <v>41</v>
      </c>
      <c r="F13" s="1">
        <v>90</v>
      </c>
      <c r="G13" s="11">
        <f t="shared" si="0"/>
        <v>3.4615384615384617</v>
      </c>
      <c r="H13" s="33">
        <v>2</v>
      </c>
      <c r="I13" s="18">
        <f t="shared" si="1"/>
        <v>57.777777777777771</v>
      </c>
      <c r="J13" s="11">
        <f t="shared" si="2"/>
        <v>79.615384615384613</v>
      </c>
      <c r="K13" s="11">
        <f t="shared" si="3"/>
        <v>-77.615384615384613</v>
      </c>
      <c r="L13" s="1">
        <f t="shared" si="4"/>
        <v>-97.487922705314006</v>
      </c>
      <c r="R13" s="17"/>
    </row>
    <row r="14" spans="1:18" x14ac:dyDescent="0.25">
      <c r="A14" s="1">
        <v>11</v>
      </c>
      <c r="B14" s="1" t="s">
        <v>12</v>
      </c>
      <c r="C14" s="1" t="s">
        <v>48</v>
      </c>
      <c r="D14" s="6" t="s">
        <v>73</v>
      </c>
      <c r="E14" s="1" t="s">
        <v>41</v>
      </c>
      <c r="F14" s="1">
        <v>9</v>
      </c>
      <c r="G14" s="11">
        <f t="shared" si="0"/>
        <v>0.34615384615384615</v>
      </c>
      <c r="H14" s="31"/>
      <c r="I14" s="18">
        <f t="shared" si="1"/>
        <v>0</v>
      </c>
      <c r="J14" s="11">
        <f t="shared" si="2"/>
        <v>7.9615384615384617</v>
      </c>
      <c r="K14" s="11">
        <f t="shared" si="3"/>
        <v>-7.9615384615384617</v>
      </c>
      <c r="L14" s="1">
        <f t="shared" si="4"/>
        <v>-100</v>
      </c>
      <c r="R14" s="17"/>
    </row>
    <row r="15" spans="1:18" x14ac:dyDescent="0.25">
      <c r="A15" s="1">
        <v>12</v>
      </c>
      <c r="B15" s="1" t="s">
        <v>13</v>
      </c>
      <c r="C15" s="1" t="s">
        <v>97</v>
      </c>
      <c r="D15" s="5" t="s">
        <v>108</v>
      </c>
      <c r="E15" s="1" t="s">
        <v>41</v>
      </c>
      <c r="F15" s="1">
        <v>45</v>
      </c>
      <c r="G15" s="11">
        <f t="shared" si="0"/>
        <v>1.7307692307692308</v>
      </c>
      <c r="H15" s="31"/>
      <c r="I15" s="18">
        <f t="shared" si="1"/>
        <v>0</v>
      </c>
      <c r="J15" s="11">
        <f t="shared" si="2"/>
        <v>39.807692307692307</v>
      </c>
      <c r="K15" s="11">
        <f t="shared" si="3"/>
        <v>-39.807692307692307</v>
      </c>
      <c r="L15" s="1">
        <f t="shared" si="4"/>
        <v>-100</v>
      </c>
      <c r="R15" s="17"/>
    </row>
    <row r="16" spans="1:18" x14ac:dyDescent="0.25">
      <c r="A16" s="1">
        <v>13</v>
      </c>
      <c r="B16" s="1" t="s">
        <v>14</v>
      </c>
      <c r="C16" s="1" t="s">
        <v>49</v>
      </c>
      <c r="D16" s="6" t="s">
        <v>74</v>
      </c>
      <c r="E16" s="1" t="s">
        <v>41</v>
      </c>
      <c r="F16" s="1">
        <v>69</v>
      </c>
      <c r="G16" s="11">
        <f t="shared" si="0"/>
        <v>2.6538461538461537</v>
      </c>
      <c r="H16" s="31"/>
      <c r="I16" s="18">
        <f t="shared" si="1"/>
        <v>0</v>
      </c>
      <c r="J16" s="11">
        <f t="shared" si="2"/>
        <v>61.038461538461533</v>
      </c>
      <c r="K16" s="11">
        <f t="shared" si="3"/>
        <v>-61.038461538461533</v>
      </c>
      <c r="L16" s="1">
        <f t="shared" si="4"/>
        <v>-100</v>
      </c>
      <c r="R16" s="17"/>
    </row>
    <row r="17" spans="1:18" x14ac:dyDescent="0.25">
      <c r="A17" s="1">
        <v>14</v>
      </c>
      <c r="B17" s="1" t="s">
        <v>15</v>
      </c>
      <c r="C17" s="1" t="s">
        <v>50</v>
      </c>
      <c r="D17" s="6" t="s">
        <v>75</v>
      </c>
      <c r="E17" s="1" t="s">
        <v>41</v>
      </c>
      <c r="F17" s="1" t="s">
        <v>92</v>
      </c>
      <c r="G17" s="11" t="e">
        <f t="shared" si="0"/>
        <v>#VALUE!</v>
      </c>
      <c r="H17" s="33">
        <v>6</v>
      </c>
      <c r="I17" s="18" t="e">
        <f t="shared" si="1"/>
        <v>#VALUE!</v>
      </c>
      <c r="J17" s="11" t="e">
        <f t="shared" si="2"/>
        <v>#VALUE!</v>
      </c>
      <c r="K17" s="11" t="e">
        <f t="shared" si="3"/>
        <v>#VALUE!</v>
      </c>
      <c r="L17" s="1" t="e">
        <f t="shared" si="4"/>
        <v>#VALUE!</v>
      </c>
      <c r="R17" s="17"/>
    </row>
    <row r="18" spans="1:18" x14ac:dyDescent="0.25">
      <c r="A18" s="1">
        <v>15</v>
      </c>
      <c r="B18" s="1" t="s">
        <v>16</v>
      </c>
      <c r="C18" s="1" t="s">
        <v>51</v>
      </c>
      <c r="D18" s="6" t="s">
        <v>76</v>
      </c>
      <c r="E18" s="1" t="s">
        <v>41</v>
      </c>
      <c r="F18" s="1">
        <v>3</v>
      </c>
      <c r="G18" s="11">
        <f t="shared" si="0"/>
        <v>0.11538461538461539</v>
      </c>
      <c r="H18" s="31"/>
      <c r="I18" s="18">
        <f t="shared" si="1"/>
        <v>0</v>
      </c>
      <c r="J18" s="11">
        <f t="shared" si="2"/>
        <v>2.6538461538461542</v>
      </c>
      <c r="K18" s="11">
        <f t="shared" si="3"/>
        <v>-2.6538461538461542</v>
      </c>
      <c r="L18" s="1">
        <f t="shared" si="4"/>
        <v>-100</v>
      </c>
      <c r="R18" s="17"/>
    </row>
    <row r="19" spans="1:18" x14ac:dyDescent="0.25">
      <c r="A19" s="1">
        <v>16</v>
      </c>
      <c r="B19" s="1" t="s">
        <v>17</v>
      </c>
      <c r="C19" s="1" t="s">
        <v>52</v>
      </c>
      <c r="D19" s="6" t="s">
        <v>77</v>
      </c>
      <c r="E19" s="1" t="s">
        <v>41</v>
      </c>
      <c r="F19" s="1" t="s">
        <v>92</v>
      </c>
      <c r="G19" s="11" t="e">
        <f t="shared" si="0"/>
        <v>#VALUE!</v>
      </c>
      <c r="H19" s="31"/>
      <c r="I19" s="18" t="e">
        <f t="shared" si="1"/>
        <v>#VALUE!</v>
      </c>
      <c r="J19" s="11" t="e">
        <f t="shared" si="2"/>
        <v>#VALUE!</v>
      </c>
      <c r="K19" s="11" t="e">
        <f t="shared" si="3"/>
        <v>#VALUE!</v>
      </c>
      <c r="L19" s="1" t="e">
        <f t="shared" si="4"/>
        <v>#VALUE!</v>
      </c>
      <c r="R19" s="17"/>
    </row>
    <row r="20" spans="1:18" x14ac:dyDescent="0.25">
      <c r="A20" s="1">
        <v>17</v>
      </c>
      <c r="B20" s="1" t="s">
        <v>18</v>
      </c>
      <c r="C20" s="19" t="s">
        <v>98</v>
      </c>
      <c r="D20" s="5" t="s">
        <v>109</v>
      </c>
      <c r="E20" s="1" t="s">
        <v>41</v>
      </c>
      <c r="F20" s="1">
        <v>150</v>
      </c>
      <c r="G20" s="11">
        <f t="shared" si="0"/>
        <v>5.7692307692307692</v>
      </c>
      <c r="H20" s="34"/>
      <c r="I20" s="18">
        <f t="shared" si="1"/>
        <v>0</v>
      </c>
      <c r="J20" s="11">
        <f t="shared" si="2"/>
        <v>132.69230769230768</v>
      </c>
      <c r="K20" s="11">
        <f t="shared" si="3"/>
        <v>-132.69230769230768</v>
      </c>
      <c r="L20" s="1">
        <f t="shared" si="4"/>
        <v>-100</v>
      </c>
      <c r="R20" s="17"/>
    </row>
    <row r="21" spans="1:18" ht="14.25" customHeight="1" x14ac:dyDescent="0.25">
      <c r="A21" s="1">
        <v>18</v>
      </c>
      <c r="B21" s="1" t="s">
        <v>19</v>
      </c>
      <c r="C21" s="1" t="s">
        <v>110</v>
      </c>
      <c r="D21" s="6" t="s">
        <v>111</v>
      </c>
      <c r="E21" s="1" t="s">
        <v>41</v>
      </c>
      <c r="F21" s="1">
        <v>72</v>
      </c>
      <c r="G21" s="11">
        <f t="shared" si="0"/>
        <v>2.7692307692307692</v>
      </c>
      <c r="H21" s="31"/>
      <c r="I21" s="18">
        <f t="shared" si="1"/>
        <v>0</v>
      </c>
      <c r="J21" s="11">
        <f t="shared" si="2"/>
        <v>63.692307692307693</v>
      </c>
      <c r="K21" s="11">
        <f t="shared" si="3"/>
        <v>-63.692307692307693</v>
      </c>
      <c r="L21" s="1">
        <f t="shared" si="4"/>
        <v>-100</v>
      </c>
      <c r="R21" s="17"/>
    </row>
    <row r="22" spans="1:18" x14ac:dyDescent="0.25">
      <c r="A22" s="1">
        <v>19</v>
      </c>
      <c r="B22" s="1" t="s">
        <v>20</v>
      </c>
      <c r="C22" s="1" t="s">
        <v>99</v>
      </c>
      <c r="D22" s="5" t="s">
        <v>112</v>
      </c>
      <c r="E22" s="1" t="s">
        <v>41</v>
      </c>
      <c r="F22" s="1">
        <v>5</v>
      </c>
      <c r="G22" s="11">
        <f t="shared" si="0"/>
        <v>0.19230769230769232</v>
      </c>
      <c r="H22" s="31"/>
      <c r="I22" s="18">
        <f t="shared" si="1"/>
        <v>0</v>
      </c>
      <c r="J22" s="11">
        <f t="shared" si="2"/>
        <v>4.4230769230769234</v>
      </c>
      <c r="K22" s="11">
        <f t="shared" si="3"/>
        <v>-4.4230769230769234</v>
      </c>
      <c r="L22" s="1">
        <f t="shared" si="4"/>
        <v>-100</v>
      </c>
      <c r="R22" s="17"/>
    </row>
    <row r="23" spans="1:18" x14ac:dyDescent="0.25">
      <c r="A23" s="1">
        <v>20</v>
      </c>
      <c r="B23" s="1" t="s">
        <v>21</v>
      </c>
      <c r="C23" s="1" t="s">
        <v>53</v>
      </c>
      <c r="D23" s="6" t="s">
        <v>78</v>
      </c>
      <c r="E23" s="1" t="s">
        <v>41</v>
      </c>
      <c r="F23" s="1">
        <v>68</v>
      </c>
      <c r="G23" s="11">
        <f t="shared" si="0"/>
        <v>2.6153846153846154</v>
      </c>
      <c r="H23" s="33">
        <v>1</v>
      </c>
      <c r="I23" s="18">
        <f t="shared" si="1"/>
        <v>38.235294117647058</v>
      </c>
      <c r="J23" s="11">
        <f t="shared" si="2"/>
        <v>60.153846153846153</v>
      </c>
      <c r="K23" s="11">
        <f t="shared" si="3"/>
        <v>-59.153846153846153</v>
      </c>
      <c r="L23" s="1">
        <f t="shared" si="4"/>
        <v>-98.337595907928389</v>
      </c>
    </row>
    <row r="24" spans="1:18" x14ac:dyDescent="0.25">
      <c r="A24" s="1">
        <v>21</v>
      </c>
      <c r="B24" s="1" t="s">
        <v>22</v>
      </c>
      <c r="C24" s="1" t="s">
        <v>100</v>
      </c>
      <c r="D24" s="5" t="s">
        <v>113</v>
      </c>
      <c r="E24" s="1" t="s">
        <v>41</v>
      </c>
      <c r="F24" s="1">
        <v>120</v>
      </c>
      <c r="G24" s="11">
        <f t="shared" si="0"/>
        <v>4.615384615384615</v>
      </c>
      <c r="H24" s="31"/>
      <c r="I24" s="18">
        <f t="shared" si="1"/>
        <v>0</v>
      </c>
      <c r="J24" s="11">
        <f t="shared" si="2"/>
        <v>106.15384615384615</v>
      </c>
      <c r="K24" s="11">
        <f t="shared" si="3"/>
        <v>-106.15384615384615</v>
      </c>
      <c r="L24" s="1">
        <f t="shared" si="4"/>
        <v>-100</v>
      </c>
      <c r="R24" s="17"/>
    </row>
    <row r="25" spans="1:18" x14ac:dyDescent="0.25">
      <c r="A25" s="1">
        <v>22</v>
      </c>
      <c r="B25" s="1" t="s">
        <v>23</v>
      </c>
      <c r="C25" t="s">
        <v>115</v>
      </c>
      <c r="D25" s="5" t="s">
        <v>114</v>
      </c>
      <c r="E25" s="1" t="s">
        <v>41</v>
      </c>
      <c r="F25" s="1">
        <v>45</v>
      </c>
      <c r="G25" s="11">
        <f t="shared" si="0"/>
        <v>1.7307692307692308</v>
      </c>
      <c r="H25" s="31"/>
      <c r="I25" s="18">
        <f t="shared" si="1"/>
        <v>0</v>
      </c>
      <c r="J25" s="11">
        <f t="shared" si="2"/>
        <v>39.807692307692307</v>
      </c>
      <c r="K25" s="11">
        <f t="shared" si="3"/>
        <v>-39.807692307692307</v>
      </c>
      <c r="L25" s="1">
        <f t="shared" si="4"/>
        <v>-100</v>
      </c>
    </row>
    <row r="26" spans="1:18" x14ac:dyDescent="0.25">
      <c r="A26" s="1">
        <v>23</v>
      </c>
      <c r="B26" s="1" t="s">
        <v>24</v>
      </c>
      <c r="C26" s="1" t="s">
        <v>54</v>
      </c>
      <c r="D26" s="6" t="s">
        <v>79</v>
      </c>
      <c r="E26" s="1" t="s">
        <v>41</v>
      </c>
      <c r="F26" s="1">
        <v>63</v>
      </c>
      <c r="G26" s="11">
        <f t="shared" si="0"/>
        <v>2.4230769230769229</v>
      </c>
      <c r="H26" s="31"/>
      <c r="I26" s="18">
        <f t="shared" si="1"/>
        <v>0</v>
      </c>
      <c r="J26" s="11">
        <f t="shared" si="2"/>
        <v>55.730769230769226</v>
      </c>
      <c r="K26" s="11">
        <f t="shared" si="3"/>
        <v>-55.730769230769226</v>
      </c>
      <c r="L26" s="1">
        <f t="shared" si="4"/>
        <v>-100</v>
      </c>
    </row>
    <row r="27" spans="1:18" x14ac:dyDescent="0.25">
      <c r="A27" s="1">
        <v>24</v>
      </c>
      <c r="B27" s="1" t="s">
        <v>25</v>
      </c>
      <c r="C27" s="1" t="s">
        <v>55</v>
      </c>
      <c r="D27" s="9">
        <v>251953541262</v>
      </c>
      <c r="E27" s="1" t="s">
        <v>41</v>
      </c>
      <c r="F27" s="1">
        <v>5</v>
      </c>
      <c r="G27" s="11">
        <f t="shared" si="0"/>
        <v>0.19230769230769232</v>
      </c>
      <c r="H27" s="31"/>
      <c r="I27" s="18">
        <f t="shared" si="1"/>
        <v>0</v>
      </c>
      <c r="J27" s="11">
        <f t="shared" si="2"/>
        <v>4.4230769230769234</v>
      </c>
      <c r="K27" s="11">
        <f t="shared" si="3"/>
        <v>-4.4230769230769234</v>
      </c>
      <c r="L27" s="1">
        <f t="shared" si="4"/>
        <v>-100</v>
      </c>
    </row>
    <row r="28" spans="1:18" x14ac:dyDescent="0.25">
      <c r="A28" s="1">
        <v>25</v>
      </c>
      <c r="B28" s="1" t="s">
        <v>26</v>
      </c>
      <c r="C28" s="1" t="s">
        <v>56</v>
      </c>
      <c r="D28" s="6" t="s">
        <v>80</v>
      </c>
      <c r="E28" s="1" t="s">
        <v>41</v>
      </c>
      <c r="F28" s="1">
        <v>75</v>
      </c>
      <c r="G28" s="11">
        <f t="shared" si="0"/>
        <v>2.8846153846153846</v>
      </c>
      <c r="H28" s="31"/>
      <c r="I28" s="18">
        <f t="shared" si="1"/>
        <v>0</v>
      </c>
      <c r="J28" s="11">
        <f t="shared" si="2"/>
        <v>66.34615384615384</v>
      </c>
      <c r="K28" s="11">
        <f t="shared" si="3"/>
        <v>-66.34615384615384</v>
      </c>
      <c r="L28" s="1">
        <f t="shared" si="4"/>
        <v>-100</v>
      </c>
    </row>
    <row r="29" spans="1:18" ht="14.25" customHeight="1" x14ac:dyDescent="0.25">
      <c r="A29" s="1">
        <v>26</v>
      </c>
      <c r="B29" s="1" t="s">
        <v>27</v>
      </c>
      <c r="C29" s="1" t="s">
        <v>101</v>
      </c>
      <c r="D29" s="5" t="s">
        <v>116</v>
      </c>
      <c r="E29" s="1" t="s">
        <v>41</v>
      </c>
      <c r="F29" s="1">
        <v>63</v>
      </c>
      <c r="G29" s="11">
        <f t="shared" si="0"/>
        <v>2.4230769230769229</v>
      </c>
      <c r="H29" s="31"/>
      <c r="I29" s="18">
        <f t="shared" si="1"/>
        <v>0</v>
      </c>
      <c r="J29" s="11">
        <f t="shared" si="2"/>
        <v>55.730769230769226</v>
      </c>
      <c r="K29" s="11">
        <f t="shared" si="3"/>
        <v>-55.730769230769226</v>
      </c>
      <c r="L29" s="1">
        <f t="shared" si="4"/>
        <v>-100</v>
      </c>
    </row>
    <row r="30" spans="1:18" ht="16.5" x14ac:dyDescent="0.35">
      <c r="A30" s="1">
        <v>27</v>
      </c>
      <c r="B30" s="1" t="s">
        <v>28</v>
      </c>
      <c r="C30" s="3" t="s">
        <v>57</v>
      </c>
      <c r="D30" s="7" t="s">
        <v>81</v>
      </c>
      <c r="E30" s="1" t="s">
        <v>41</v>
      </c>
      <c r="F30" s="1">
        <v>75</v>
      </c>
      <c r="G30" s="11">
        <f t="shared" si="0"/>
        <v>2.8846153846153846</v>
      </c>
      <c r="H30" s="31"/>
      <c r="I30" s="18">
        <f t="shared" si="1"/>
        <v>0</v>
      </c>
      <c r="J30" s="11">
        <f t="shared" si="2"/>
        <v>66.34615384615384</v>
      </c>
      <c r="K30" s="11">
        <f t="shared" si="3"/>
        <v>-66.34615384615384</v>
      </c>
      <c r="L30" s="1">
        <f t="shared" si="4"/>
        <v>-100</v>
      </c>
    </row>
    <row r="31" spans="1:18" x14ac:dyDescent="0.25">
      <c r="A31" s="1">
        <v>28</v>
      </c>
      <c r="B31" s="1" t="s">
        <v>29</v>
      </c>
      <c r="C31" s="1" t="s">
        <v>102</v>
      </c>
      <c r="D31" s="5" t="s">
        <v>117</v>
      </c>
      <c r="E31" s="1" t="s">
        <v>41</v>
      </c>
      <c r="F31" s="1">
        <v>90</v>
      </c>
      <c r="G31" s="11">
        <f t="shared" si="0"/>
        <v>3.4615384615384617</v>
      </c>
      <c r="H31" s="31"/>
      <c r="I31" s="18">
        <f t="shared" si="1"/>
        <v>0</v>
      </c>
      <c r="J31" s="11">
        <f t="shared" si="2"/>
        <v>79.615384615384613</v>
      </c>
      <c r="K31" s="11">
        <f t="shared" si="3"/>
        <v>-79.615384615384613</v>
      </c>
      <c r="L31" s="1">
        <f t="shared" si="4"/>
        <v>-100</v>
      </c>
    </row>
    <row r="32" spans="1:18" x14ac:dyDescent="0.25">
      <c r="A32" s="1">
        <v>29</v>
      </c>
      <c r="B32" s="1" t="s">
        <v>30</v>
      </c>
      <c r="C32" s="1" t="s">
        <v>58</v>
      </c>
      <c r="D32" s="6" t="s">
        <v>82</v>
      </c>
      <c r="E32" s="1" t="s">
        <v>41</v>
      </c>
      <c r="F32" s="1">
        <v>72</v>
      </c>
      <c r="G32" s="11">
        <f t="shared" si="0"/>
        <v>2.7692307692307692</v>
      </c>
      <c r="H32" s="31"/>
      <c r="I32" s="18">
        <f t="shared" si="1"/>
        <v>0</v>
      </c>
      <c r="J32" s="11">
        <f t="shared" si="2"/>
        <v>63.692307692307693</v>
      </c>
      <c r="K32" s="11">
        <f t="shared" si="3"/>
        <v>-63.692307692307693</v>
      </c>
      <c r="L32" s="1">
        <f t="shared" si="4"/>
        <v>-100</v>
      </c>
    </row>
    <row r="33" spans="1:12" ht="13.5" customHeight="1" x14ac:dyDescent="0.25">
      <c r="A33" s="1">
        <v>30</v>
      </c>
      <c r="B33" s="1" t="s">
        <v>31</v>
      </c>
      <c r="C33" s="1" t="s">
        <v>59</v>
      </c>
      <c r="D33" s="6" t="s">
        <v>83</v>
      </c>
      <c r="E33" s="1" t="s">
        <v>41</v>
      </c>
      <c r="F33" s="1">
        <v>54</v>
      </c>
      <c r="G33" s="11">
        <f t="shared" si="0"/>
        <v>2.0769230769230771</v>
      </c>
      <c r="H33" s="33">
        <v>2</v>
      </c>
      <c r="I33" s="18">
        <f t="shared" si="1"/>
        <v>96.296296296296291</v>
      </c>
      <c r="J33" s="11">
        <f t="shared" si="2"/>
        <v>47.769230769230774</v>
      </c>
      <c r="K33" s="11">
        <f t="shared" si="3"/>
        <v>-45.769230769230774</v>
      </c>
      <c r="L33" s="1">
        <f t="shared" si="4"/>
        <v>-95.813204508856685</v>
      </c>
    </row>
    <row r="34" spans="1:12" x14ac:dyDescent="0.25">
      <c r="A34" s="1">
        <v>31</v>
      </c>
      <c r="B34" s="1" t="s">
        <v>32</v>
      </c>
      <c r="C34" s="1" t="s">
        <v>60</v>
      </c>
      <c r="D34" s="6" t="s">
        <v>84</v>
      </c>
      <c r="E34" s="1" t="s">
        <v>41</v>
      </c>
      <c r="F34" s="1">
        <v>60</v>
      </c>
      <c r="G34" s="11">
        <f t="shared" si="0"/>
        <v>2.3076923076923075</v>
      </c>
      <c r="H34" s="33">
        <v>1</v>
      </c>
      <c r="I34" s="18">
        <f t="shared" si="1"/>
        <v>43.333333333333336</v>
      </c>
      <c r="J34" s="11">
        <f t="shared" si="2"/>
        <v>53.076923076923073</v>
      </c>
      <c r="K34" s="11">
        <f t="shared" si="3"/>
        <v>-52.076923076923073</v>
      </c>
      <c r="L34" s="1">
        <f t="shared" si="4"/>
        <v>-98.115942028985501</v>
      </c>
    </row>
    <row r="35" spans="1:12" x14ac:dyDescent="0.25">
      <c r="A35" s="1">
        <v>32</v>
      </c>
      <c r="B35" s="1" t="s">
        <v>33</v>
      </c>
      <c r="C35" s="1" t="s">
        <v>103</v>
      </c>
      <c r="D35" s="5" t="s">
        <v>118</v>
      </c>
      <c r="E35" s="1" t="s">
        <v>41</v>
      </c>
      <c r="F35" s="1">
        <v>90</v>
      </c>
      <c r="G35" s="11">
        <f t="shared" si="0"/>
        <v>3.4615384615384617</v>
      </c>
      <c r="H35" s="31"/>
      <c r="I35" s="18">
        <f t="shared" si="1"/>
        <v>0</v>
      </c>
      <c r="J35" s="11">
        <f t="shared" si="2"/>
        <v>79.615384615384613</v>
      </c>
      <c r="K35" s="11">
        <f t="shared" si="3"/>
        <v>-79.615384615384613</v>
      </c>
      <c r="L35" s="1">
        <f t="shared" si="4"/>
        <v>-100</v>
      </c>
    </row>
    <row r="36" spans="1:12" x14ac:dyDescent="0.25">
      <c r="A36" s="1">
        <v>33</v>
      </c>
      <c r="B36" s="1" t="s">
        <v>34</v>
      </c>
      <c r="C36" t="s">
        <v>104</v>
      </c>
      <c r="D36" s="5" t="s">
        <v>119</v>
      </c>
      <c r="E36" s="1" t="s">
        <v>41</v>
      </c>
      <c r="F36" s="1">
        <v>114</v>
      </c>
      <c r="G36" s="11">
        <f t="shared" si="0"/>
        <v>4.384615384615385</v>
      </c>
      <c r="H36" s="33">
        <v>1</v>
      </c>
      <c r="I36" s="18">
        <f t="shared" si="1"/>
        <v>22.807017543859647</v>
      </c>
      <c r="J36" s="11">
        <f t="shared" si="2"/>
        <v>100.84615384615385</v>
      </c>
      <c r="K36" s="11">
        <f t="shared" si="3"/>
        <v>-99.846153846153854</v>
      </c>
      <c r="L36" s="1">
        <f t="shared" si="4"/>
        <v>-99.008390541571316</v>
      </c>
    </row>
    <row r="37" spans="1:12" x14ac:dyDescent="0.25">
      <c r="A37" s="1">
        <v>34</v>
      </c>
      <c r="B37" s="1" t="s">
        <v>35</v>
      </c>
      <c r="C37" t="s">
        <v>64</v>
      </c>
      <c r="D37" s="8" t="s">
        <v>85</v>
      </c>
      <c r="E37" s="1" t="s">
        <v>41</v>
      </c>
      <c r="F37" s="1" t="s">
        <v>92</v>
      </c>
      <c r="G37" s="11" t="e">
        <f t="shared" si="0"/>
        <v>#VALUE!</v>
      </c>
      <c r="H37" s="33">
        <v>1</v>
      </c>
      <c r="I37" s="18" t="e">
        <f t="shared" si="1"/>
        <v>#VALUE!</v>
      </c>
      <c r="J37" s="11" t="e">
        <f t="shared" si="2"/>
        <v>#VALUE!</v>
      </c>
      <c r="K37" s="11" t="e">
        <f t="shared" si="3"/>
        <v>#VALUE!</v>
      </c>
      <c r="L37" s="1" t="e">
        <f t="shared" si="4"/>
        <v>#VALUE!</v>
      </c>
    </row>
    <row r="38" spans="1:12" ht="15.75" customHeight="1" x14ac:dyDescent="0.25">
      <c r="A38" s="1">
        <v>35</v>
      </c>
      <c r="B38" s="1" t="s">
        <v>36</v>
      </c>
      <c r="C38" s="1" t="s">
        <v>61</v>
      </c>
      <c r="D38" s="6" t="s">
        <v>86</v>
      </c>
      <c r="E38" s="1" t="s">
        <v>41</v>
      </c>
      <c r="F38" s="1">
        <v>66</v>
      </c>
      <c r="G38" s="11">
        <f t="shared" si="0"/>
        <v>2.5384615384615383</v>
      </c>
      <c r="H38" s="40">
        <v>1</v>
      </c>
      <c r="I38" s="18">
        <f t="shared" si="1"/>
        <v>39.393939393939398</v>
      </c>
      <c r="J38" s="11">
        <f t="shared" si="2"/>
        <v>58.38461538461538</v>
      </c>
      <c r="K38" s="11">
        <f t="shared" si="3"/>
        <v>-57.38461538461538</v>
      </c>
      <c r="L38" s="1">
        <f t="shared" si="4"/>
        <v>-98.287220026350468</v>
      </c>
    </row>
    <row r="39" spans="1:12" x14ac:dyDescent="0.25">
      <c r="A39" s="1">
        <v>36</v>
      </c>
      <c r="B39" s="1" t="s">
        <v>37</v>
      </c>
      <c r="C39" t="s">
        <v>120</v>
      </c>
      <c r="D39" s="5" t="s">
        <v>121</v>
      </c>
      <c r="E39" s="1" t="s">
        <v>41</v>
      </c>
      <c r="F39" s="1">
        <v>30</v>
      </c>
      <c r="G39" s="11">
        <f t="shared" si="0"/>
        <v>1.1538461538461537</v>
      </c>
      <c r="H39" s="31"/>
      <c r="I39" s="18">
        <f t="shared" si="1"/>
        <v>0</v>
      </c>
      <c r="J39" s="11">
        <f t="shared" si="2"/>
        <v>26.538461538461537</v>
      </c>
      <c r="K39" s="11">
        <f t="shared" si="3"/>
        <v>-26.538461538461537</v>
      </c>
      <c r="L39" s="1">
        <f t="shared" si="4"/>
        <v>-100</v>
      </c>
    </row>
    <row r="40" spans="1:12" x14ac:dyDescent="0.25">
      <c r="A40" s="1">
        <v>37</v>
      </c>
      <c r="B40" s="1" t="s">
        <v>38</v>
      </c>
      <c r="C40" s="1" t="s">
        <v>62</v>
      </c>
      <c r="D40" s="6" t="s">
        <v>87</v>
      </c>
      <c r="E40" s="1" t="s">
        <v>41</v>
      </c>
      <c r="F40" s="1">
        <v>60</v>
      </c>
      <c r="G40" s="11">
        <f t="shared" si="0"/>
        <v>2.3076923076923075</v>
      </c>
      <c r="H40" s="31"/>
      <c r="I40" s="18">
        <f t="shared" si="1"/>
        <v>0</v>
      </c>
      <c r="J40" s="11">
        <f t="shared" si="2"/>
        <v>53.076923076923073</v>
      </c>
      <c r="K40" s="11">
        <f t="shared" si="3"/>
        <v>-53.076923076923073</v>
      </c>
      <c r="L40" s="1">
        <f t="shared" si="4"/>
        <v>-100</v>
      </c>
    </row>
    <row r="41" spans="1:12" ht="15.75" thickBot="1" x14ac:dyDescent="0.3">
      <c r="A41" s="1">
        <v>38</v>
      </c>
      <c r="B41" s="1" t="s">
        <v>39</v>
      </c>
      <c r="C41" s="10" t="s">
        <v>63</v>
      </c>
      <c r="D41" s="16" t="s">
        <v>88</v>
      </c>
      <c r="E41" s="10" t="s">
        <v>41</v>
      </c>
      <c r="F41" s="10"/>
      <c r="G41" s="15">
        <f t="shared" si="0"/>
        <v>0</v>
      </c>
      <c r="H41" s="41">
        <v>1</v>
      </c>
      <c r="I41" s="18" t="e">
        <f t="shared" si="1"/>
        <v>#DIV/0!</v>
      </c>
      <c r="J41" s="11">
        <f t="shared" si="2"/>
        <v>0</v>
      </c>
      <c r="K41" s="11">
        <f t="shared" si="3"/>
        <v>1</v>
      </c>
      <c r="L41" s="1" t="e">
        <f t="shared" si="4"/>
        <v>#DIV/0!</v>
      </c>
    </row>
    <row r="42" spans="1:12" ht="19.5" thickBot="1" x14ac:dyDescent="0.35">
      <c r="C42" s="37" t="s">
        <v>95</v>
      </c>
      <c r="D42" s="38"/>
      <c r="E42" s="38"/>
      <c r="F42" s="38"/>
      <c r="G42" s="38"/>
      <c r="H42" s="21">
        <f>SUM(H4:H41)</f>
        <v>17</v>
      </c>
    </row>
  </sheetData>
  <mergeCells count="3">
    <mergeCell ref="A2:L2"/>
    <mergeCell ref="A1:L1"/>
    <mergeCell ref="C42:G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42"/>
  <sheetViews>
    <sheetView topLeftCell="A34" workbookViewId="0">
      <selection activeCell="B50" sqref="B50"/>
    </sheetView>
  </sheetViews>
  <sheetFormatPr defaultRowHeight="15" x14ac:dyDescent="0.25"/>
  <cols>
    <col min="4" max="4" width="14.28515625" customWidth="1"/>
    <col min="6" max="6" width="13" customWidth="1"/>
  </cols>
  <sheetData>
    <row r="1" spans="1:12" ht="15.75" x14ac:dyDescent="0.25">
      <c r="A1" s="36" t="s">
        <v>123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5.75" x14ac:dyDescent="0.25">
      <c r="A2" s="35" t="s">
        <v>133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30" x14ac:dyDescent="0.25">
      <c r="A3" s="2" t="s">
        <v>93</v>
      </c>
      <c r="B3" s="2" t="s">
        <v>1</v>
      </c>
      <c r="C3" s="2" t="s">
        <v>124</v>
      </c>
      <c r="D3" s="2" t="s">
        <v>66</v>
      </c>
      <c r="E3" s="2" t="s">
        <v>0</v>
      </c>
      <c r="F3" s="14" t="s">
        <v>129</v>
      </c>
      <c r="G3" s="14" t="s">
        <v>89</v>
      </c>
      <c r="H3" s="12" t="s">
        <v>90</v>
      </c>
      <c r="I3" s="12" t="s">
        <v>91</v>
      </c>
      <c r="J3" s="13" t="s">
        <v>126</v>
      </c>
      <c r="K3" s="14" t="s">
        <v>130</v>
      </c>
      <c r="L3" s="14" t="s">
        <v>131</v>
      </c>
    </row>
    <row r="4" spans="1:12" ht="16.5" x14ac:dyDescent="0.25">
      <c r="A4" s="1">
        <v>1</v>
      </c>
      <c r="B4" s="1" t="s">
        <v>3</v>
      </c>
      <c r="C4" s="1" t="s">
        <v>40</v>
      </c>
      <c r="D4" s="5" t="s">
        <v>67</v>
      </c>
      <c r="E4" s="1" t="s">
        <v>41</v>
      </c>
      <c r="F4" s="23">
        <v>33</v>
      </c>
      <c r="G4" s="24">
        <f>F4/26</f>
        <v>1.2692307692307692</v>
      </c>
      <c r="H4" s="1"/>
      <c r="I4" s="24">
        <f>H4/G4*100</f>
        <v>0</v>
      </c>
      <c r="J4" s="11">
        <f>G4*22</f>
        <v>27.92307692307692</v>
      </c>
      <c r="K4" s="24">
        <f>H4*22</f>
        <v>0</v>
      </c>
      <c r="L4" s="24">
        <f>K4/J4*100</f>
        <v>0</v>
      </c>
    </row>
    <row r="5" spans="1:12" ht="16.5" x14ac:dyDescent="0.25">
      <c r="A5" s="1">
        <v>2</v>
      </c>
      <c r="B5" s="1" t="s">
        <v>2</v>
      </c>
      <c r="C5" s="4" t="s">
        <v>65</v>
      </c>
      <c r="D5" s="5" t="s">
        <v>68</v>
      </c>
      <c r="E5" s="1" t="s">
        <v>41</v>
      </c>
      <c r="F5" s="23">
        <v>25</v>
      </c>
      <c r="G5" s="24">
        <f t="shared" ref="G5:G41" si="0">F5/26</f>
        <v>0.96153846153846156</v>
      </c>
      <c r="H5" s="1"/>
      <c r="I5" s="24">
        <f t="shared" ref="I5:I42" si="1">H5/G5*100</f>
        <v>0</v>
      </c>
      <c r="J5" s="11">
        <f t="shared" ref="J5:K42" si="2">G5*22</f>
        <v>21.153846153846153</v>
      </c>
      <c r="K5" s="24">
        <f t="shared" si="2"/>
        <v>0</v>
      </c>
      <c r="L5" s="24">
        <f t="shared" ref="L5:L41" si="3">K5/J5*100</f>
        <v>0</v>
      </c>
    </row>
    <row r="6" spans="1:12" ht="16.5" x14ac:dyDescent="0.25">
      <c r="A6" s="1">
        <v>3</v>
      </c>
      <c r="B6" s="1" t="s">
        <v>4</v>
      </c>
      <c r="C6" s="1" t="s">
        <v>96</v>
      </c>
      <c r="D6" s="5" t="s">
        <v>105</v>
      </c>
      <c r="E6" s="1" t="s">
        <v>41</v>
      </c>
      <c r="F6" s="23">
        <v>8</v>
      </c>
      <c r="G6" s="24">
        <f t="shared" si="0"/>
        <v>0.30769230769230771</v>
      </c>
      <c r="H6" s="1"/>
      <c r="I6" s="24">
        <f t="shared" si="1"/>
        <v>0</v>
      </c>
      <c r="J6" s="11">
        <f t="shared" si="2"/>
        <v>6.7692307692307701</v>
      </c>
      <c r="K6" s="24">
        <f t="shared" si="2"/>
        <v>0</v>
      </c>
      <c r="L6" s="24">
        <f t="shared" si="3"/>
        <v>0</v>
      </c>
    </row>
    <row r="7" spans="1:12" ht="16.5" x14ac:dyDescent="0.25">
      <c r="A7" s="1">
        <v>4</v>
      </c>
      <c r="B7" s="1" t="s">
        <v>5</v>
      </c>
      <c r="C7" s="1" t="s">
        <v>42</v>
      </c>
      <c r="D7" s="9">
        <v>251946167968</v>
      </c>
      <c r="E7" s="1" t="s">
        <v>41</v>
      </c>
      <c r="F7" s="23">
        <v>20</v>
      </c>
      <c r="G7" s="24">
        <f t="shared" si="0"/>
        <v>0.76923076923076927</v>
      </c>
      <c r="H7" s="1"/>
      <c r="I7" s="24">
        <f t="shared" si="1"/>
        <v>0</v>
      </c>
      <c r="J7" s="11">
        <f t="shared" si="2"/>
        <v>16.923076923076923</v>
      </c>
      <c r="K7" s="24">
        <f t="shared" si="2"/>
        <v>0</v>
      </c>
      <c r="L7" s="24">
        <f t="shared" si="3"/>
        <v>0</v>
      </c>
    </row>
    <row r="8" spans="1:12" ht="16.5" x14ac:dyDescent="0.25">
      <c r="A8" s="1">
        <v>5</v>
      </c>
      <c r="B8" s="1" t="s">
        <v>6</v>
      </c>
      <c r="C8" s="1" t="s">
        <v>43</v>
      </c>
      <c r="D8" s="5" t="s">
        <v>69</v>
      </c>
      <c r="E8" s="1" t="s">
        <v>41</v>
      </c>
      <c r="F8" s="23">
        <v>52</v>
      </c>
      <c r="G8" s="24">
        <f t="shared" si="0"/>
        <v>2</v>
      </c>
      <c r="H8" s="1"/>
      <c r="I8" s="24">
        <f t="shared" si="1"/>
        <v>0</v>
      </c>
      <c r="J8" s="11">
        <f t="shared" si="2"/>
        <v>44</v>
      </c>
      <c r="K8" s="24">
        <f t="shared" si="2"/>
        <v>0</v>
      </c>
      <c r="L8" s="24">
        <f t="shared" si="3"/>
        <v>0</v>
      </c>
    </row>
    <row r="9" spans="1:12" ht="16.5" x14ac:dyDescent="0.25">
      <c r="A9" s="1">
        <v>6</v>
      </c>
      <c r="B9" s="1" t="s">
        <v>7</v>
      </c>
      <c r="C9" s="1" t="s">
        <v>44</v>
      </c>
      <c r="D9" s="6" t="s">
        <v>70</v>
      </c>
      <c r="E9" s="1" t="s">
        <v>41</v>
      </c>
      <c r="F9" s="23">
        <v>143</v>
      </c>
      <c r="G9" s="24">
        <f t="shared" si="0"/>
        <v>5.5</v>
      </c>
      <c r="H9" s="1"/>
      <c r="I9" s="24">
        <f t="shared" si="1"/>
        <v>0</v>
      </c>
      <c r="J9" s="11">
        <f t="shared" si="2"/>
        <v>121</v>
      </c>
      <c r="K9" s="24">
        <f t="shared" si="2"/>
        <v>0</v>
      </c>
      <c r="L9" s="24">
        <f t="shared" si="3"/>
        <v>0</v>
      </c>
    </row>
    <row r="10" spans="1:12" ht="16.5" x14ac:dyDescent="0.25">
      <c r="A10" s="1">
        <v>7</v>
      </c>
      <c r="B10" s="1" t="s">
        <v>8</v>
      </c>
      <c r="C10" s="1" t="s">
        <v>45</v>
      </c>
      <c r="D10" s="6" t="s">
        <v>71</v>
      </c>
      <c r="E10" s="1" t="s">
        <v>41</v>
      </c>
      <c r="F10" s="23">
        <v>39</v>
      </c>
      <c r="G10" s="24">
        <f t="shared" si="0"/>
        <v>1.5</v>
      </c>
      <c r="H10" s="1"/>
      <c r="I10" s="24">
        <f t="shared" si="1"/>
        <v>0</v>
      </c>
      <c r="J10" s="11">
        <f t="shared" si="2"/>
        <v>33</v>
      </c>
      <c r="K10" s="24">
        <f t="shared" si="2"/>
        <v>0</v>
      </c>
      <c r="L10" s="24">
        <f t="shared" si="3"/>
        <v>0</v>
      </c>
    </row>
    <row r="11" spans="1:12" ht="16.5" x14ac:dyDescent="0.25">
      <c r="A11" s="1">
        <v>8</v>
      </c>
      <c r="B11" s="1" t="s">
        <v>9</v>
      </c>
      <c r="C11" s="1" t="s">
        <v>46</v>
      </c>
      <c r="D11" s="9">
        <v>251932401839</v>
      </c>
      <c r="E11" s="1" t="s">
        <v>41</v>
      </c>
      <c r="F11" s="23">
        <v>14</v>
      </c>
      <c r="G11" s="24">
        <f t="shared" si="0"/>
        <v>0.53846153846153844</v>
      </c>
      <c r="H11" s="1"/>
      <c r="I11" s="24">
        <f t="shared" si="1"/>
        <v>0</v>
      </c>
      <c r="J11" s="11">
        <f t="shared" si="2"/>
        <v>11.846153846153845</v>
      </c>
      <c r="K11" s="24">
        <f t="shared" si="2"/>
        <v>0</v>
      </c>
      <c r="L11" s="24">
        <f t="shared" si="3"/>
        <v>0</v>
      </c>
    </row>
    <row r="12" spans="1:12" ht="16.5" x14ac:dyDescent="0.25">
      <c r="A12" s="1">
        <v>9</v>
      </c>
      <c r="B12" s="1" t="s">
        <v>10</v>
      </c>
      <c r="C12" s="1" t="s">
        <v>47</v>
      </c>
      <c r="D12" s="6" t="s">
        <v>72</v>
      </c>
      <c r="E12" s="1" t="s">
        <v>41</v>
      </c>
      <c r="F12" s="23">
        <v>14</v>
      </c>
      <c r="G12" s="24">
        <f t="shared" si="0"/>
        <v>0.53846153846153844</v>
      </c>
      <c r="H12" s="1"/>
      <c r="I12" s="24">
        <f t="shared" si="1"/>
        <v>0</v>
      </c>
      <c r="J12" s="11">
        <f t="shared" si="2"/>
        <v>11.846153846153845</v>
      </c>
      <c r="K12" s="24">
        <f t="shared" si="2"/>
        <v>0</v>
      </c>
      <c r="L12" s="24">
        <f t="shared" si="3"/>
        <v>0</v>
      </c>
    </row>
    <row r="13" spans="1:12" ht="16.5" x14ac:dyDescent="0.25">
      <c r="A13" s="1">
        <v>10</v>
      </c>
      <c r="B13" s="1" t="s">
        <v>11</v>
      </c>
      <c r="C13" t="s">
        <v>106</v>
      </c>
      <c r="D13" s="5" t="s">
        <v>107</v>
      </c>
      <c r="E13" s="1" t="s">
        <v>41</v>
      </c>
      <c r="F13" s="23">
        <v>177</v>
      </c>
      <c r="G13" s="24">
        <f t="shared" si="0"/>
        <v>6.8076923076923075</v>
      </c>
      <c r="H13" s="1"/>
      <c r="I13" s="24">
        <f t="shared" si="1"/>
        <v>0</v>
      </c>
      <c r="J13" s="11">
        <f t="shared" si="2"/>
        <v>149.76923076923077</v>
      </c>
      <c r="K13" s="24">
        <f t="shared" si="2"/>
        <v>0</v>
      </c>
      <c r="L13" s="24">
        <f t="shared" si="3"/>
        <v>0</v>
      </c>
    </row>
    <row r="14" spans="1:12" ht="16.5" x14ac:dyDescent="0.25">
      <c r="A14" s="1">
        <v>11</v>
      </c>
      <c r="B14" s="1" t="s">
        <v>12</v>
      </c>
      <c r="C14" s="1" t="s">
        <v>48</v>
      </c>
      <c r="D14" s="6" t="s">
        <v>73</v>
      </c>
      <c r="E14" s="1" t="s">
        <v>41</v>
      </c>
      <c r="F14" s="23">
        <v>81</v>
      </c>
      <c r="G14" s="24">
        <f t="shared" si="0"/>
        <v>3.1153846153846154</v>
      </c>
      <c r="H14" s="1"/>
      <c r="I14" s="24">
        <f t="shared" si="1"/>
        <v>0</v>
      </c>
      <c r="J14" s="11">
        <f t="shared" si="2"/>
        <v>68.538461538461533</v>
      </c>
      <c r="K14" s="24">
        <f t="shared" si="2"/>
        <v>0</v>
      </c>
      <c r="L14" s="24">
        <f t="shared" si="3"/>
        <v>0</v>
      </c>
    </row>
    <row r="15" spans="1:12" ht="16.5" x14ac:dyDescent="0.25">
      <c r="A15" s="1">
        <v>12</v>
      </c>
      <c r="B15" s="1" t="s">
        <v>13</v>
      </c>
      <c r="C15" s="1" t="s">
        <v>97</v>
      </c>
      <c r="D15" s="5" t="s">
        <v>108</v>
      </c>
      <c r="E15" s="1" t="s">
        <v>41</v>
      </c>
      <c r="F15" s="23">
        <v>10</v>
      </c>
      <c r="G15" s="24">
        <f t="shared" si="0"/>
        <v>0.38461538461538464</v>
      </c>
      <c r="H15" s="1"/>
      <c r="I15" s="24">
        <f t="shared" si="1"/>
        <v>0</v>
      </c>
      <c r="J15" s="11">
        <f t="shared" si="2"/>
        <v>8.4615384615384617</v>
      </c>
      <c r="K15" s="24">
        <f t="shared" si="2"/>
        <v>0</v>
      </c>
      <c r="L15" s="24">
        <f t="shared" si="3"/>
        <v>0</v>
      </c>
    </row>
    <row r="16" spans="1:12" ht="16.5" x14ac:dyDescent="0.25">
      <c r="A16" s="1">
        <v>13</v>
      </c>
      <c r="B16" s="1" t="s">
        <v>14</v>
      </c>
      <c r="C16" s="1" t="s">
        <v>49</v>
      </c>
      <c r="D16" s="6" t="s">
        <v>74</v>
      </c>
      <c r="E16" s="1" t="s">
        <v>41</v>
      </c>
      <c r="F16" s="23">
        <v>37</v>
      </c>
      <c r="G16" s="24">
        <f t="shared" si="0"/>
        <v>1.4230769230769231</v>
      </c>
      <c r="H16" s="1"/>
      <c r="I16" s="24">
        <f t="shared" si="1"/>
        <v>0</v>
      </c>
      <c r="J16" s="11">
        <f t="shared" si="2"/>
        <v>31.30769230769231</v>
      </c>
      <c r="K16" s="24">
        <f t="shared" si="2"/>
        <v>0</v>
      </c>
      <c r="L16" s="24">
        <f t="shared" si="3"/>
        <v>0</v>
      </c>
    </row>
    <row r="17" spans="1:12" ht="16.5" x14ac:dyDescent="0.25">
      <c r="A17" s="1">
        <v>14</v>
      </c>
      <c r="B17" s="1" t="s">
        <v>15</v>
      </c>
      <c r="C17" s="1" t="s">
        <v>50</v>
      </c>
      <c r="D17" s="6" t="s">
        <v>75</v>
      </c>
      <c r="E17" s="1" t="s">
        <v>41</v>
      </c>
      <c r="F17" s="23">
        <v>32</v>
      </c>
      <c r="G17" s="24">
        <f t="shared" si="0"/>
        <v>1.2307692307692308</v>
      </c>
      <c r="H17" s="1"/>
      <c r="I17" s="24">
        <f t="shared" si="1"/>
        <v>0</v>
      </c>
      <c r="J17" s="11">
        <f t="shared" si="2"/>
        <v>27.07692307692308</v>
      </c>
      <c r="K17" s="24">
        <f t="shared" si="2"/>
        <v>0</v>
      </c>
      <c r="L17" s="24">
        <f t="shared" si="3"/>
        <v>0</v>
      </c>
    </row>
    <row r="18" spans="1:12" ht="16.5" x14ac:dyDescent="0.25">
      <c r="A18" s="1">
        <v>15</v>
      </c>
      <c r="B18" s="1" t="s">
        <v>16</v>
      </c>
      <c r="C18" s="1" t="s">
        <v>51</v>
      </c>
      <c r="D18" s="6" t="s">
        <v>76</v>
      </c>
      <c r="E18" s="1" t="s">
        <v>41</v>
      </c>
      <c r="F18" s="23">
        <v>27</v>
      </c>
      <c r="G18" s="24">
        <f t="shared" si="0"/>
        <v>1.0384615384615385</v>
      </c>
      <c r="H18" s="1"/>
      <c r="I18" s="24">
        <f t="shared" si="1"/>
        <v>0</v>
      </c>
      <c r="J18" s="11">
        <f t="shared" si="2"/>
        <v>22.846153846153847</v>
      </c>
      <c r="K18" s="24">
        <f t="shared" si="2"/>
        <v>0</v>
      </c>
      <c r="L18" s="24">
        <f t="shared" si="3"/>
        <v>0</v>
      </c>
    </row>
    <row r="19" spans="1:12" ht="16.5" x14ac:dyDescent="0.25">
      <c r="A19" s="1">
        <v>16</v>
      </c>
      <c r="B19" s="1" t="s">
        <v>17</v>
      </c>
      <c r="C19" s="1" t="s">
        <v>52</v>
      </c>
      <c r="D19" s="6" t="s">
        <v>77</v>
      </c>
      <c r="E19" s="1" t="s">
        <v>41</v>
      </c>
      <c r="F19" s="23">
        <v>8</v>
      </c>
      <c r="G19" s="24">
        <f t="shared" si="0"/>
        <v>0.30769230769230771</v>
      </c>
      <c r="H19" s="1"/>
      <c r="I19" s="24">
        <f t="shared" si="1"/>
        <v>0</v>
      </c>
      <c r="J19" s="11">
        <f t="shared" si="2"/>
        <v>6.7692307692307701</v>
      </c>
      <c r="K19" s="24">
        <f t="shared" si="2"/>
        <v>0</v>
      </c>
      <c r="L19" s="24">
        <f t="shared" si="3"/>
        <v>0</v>
      </c>
    </row>
    <row r="20" spans="1:12" x14ac:dyDescent="0.25">
      <c r="A20" s="1">
        <v>17</v>
      </c>
      <c r="B20" s="1" t="s">
        <v>18</v>
      </c>
      <c r="C20" s="19" t="s">
        <v>98</v>
      </c>
      <c r="D20" s="5" t="s">
        <v>109</v>
      </c>
      <c r="E20" s="1" t="s">
        <v>41</v>
      </c>
      <c r="F20" s="25">
        <v>19</v>
      </c>
      <c r="G20" s="24">
        <f t="shared" si="0"/>
        <v>0.73076923076923073</v>
      </c>
      <c r="H20" s="1"/>
      <c r="I20" s="24">
        <f t="shared" si="1"/>
        <v>0</v>
      </c>
      <c r="J20" s="11">
        <f t="shared" si="2"/>
        <v>16.076923076923077</v>
      </c>
      <c r="K20" s="24">
        <f t="shared" si="2"/>
        <v>0</v>
      </c>
      <c r="L20" s="24">
        <f t="shared" si="3"/>
        <v>0</v>
      </c>
    </row>
    <row r="21" spans="1:12" x14ac:dyDescent="0.25">
      <c r="A21" s="1">
        <v>18</v>
      </c>
      <c r="B21" s="1" t="s">
        <v>19</v>
      </c>
      <c r="C21" s="1" t="s">
        <v>110</v>
      </c>
      <c r="D21" s="6" t="s">
        <v>111</v>
      </c>
      <c r="E21" s="1" t="s">
        <v>41</v>
      </c>
      <c r="F21" s="25">
        <v>135</v>
      </c>
      <c r="G21" s="24">
        <f t="shared" si="0"/>
        <v>5.1923076923076925</v>
      </c>
      <c r="H21" s="1"/>
      <c r="I21" s="24">
        <f t="shared" si="1"/>
        <v>0</v>
      </c>
      <c r="J21" s="11">
        <f t="shared" si="2"/>
        <v>114.23076923076924</v>
      </c>
      <c r="K21" s="24">
        <f t="shared" si="2"/>
        <v>0</v>
      </c>
      <c r="L21" s="24">
        <f t="shared" si="3"/>
        <v>0</v>
      </c>
    </row>
    <row r="22" spans="1:12" x14ac:dyDescent="0.25">
      <c r="A22" s="1">
        <v>19</v>
      </c>
      <c r="B22" s="1" t="s">
        <v>20</v>
      </c>
      <c r="C22" s="1" t="s">
        <v>99</v>
      </c>
      <c r="D22" s="5" t="s">
        <v>112</v>
      </c>
      <c r="E22" s="1" t="s">
        <v>41</v>
      </c>
      <c r="F22" s="25">
        <v>32</v>
      </c>
      <c r="G22" s="24">
        <f t="shared" si="0"/>
        <v>1.2307692307692308</v>
      </c>
      <c r="H22" s="1"/>
      <c r="I22" s="24">
        <f t="shared" si="1"/>
        <v>0</v>
      </c>
      <c r="J22" s="11">
        <f t="shared" si="2"/>
        <v>27.07692307692308</v>
      </c>
      <c r="K22" s="24">
        <f t="shared" si="2"/>
        <v>0</v>
      </c>
      <c r="L22" s="24">
        <f t="shared" si="3"/>
        <v>0</v>
      </c>
    </row>
    <row r="23" spans="1:12" x14ac:dyDescent="0.25">
      <c r="A23" s="1">
        <v>20</v>
      </c>
      <c r="B23" s="1" t="s">
        <v>21</v>
      </c>
      <c r="C23" s="1" t="s">
        <v>53</v>
      </c>
      <c r="D23" s="6" t="s">
        <v>78</v>
      </c>
      <c r="E23" s="1" t="s">
        <v>41</v>
      </c>
      <c r="F23" s="25">
        <v>8</v>
      </c>
      <c r="G23" s="24">
        <f t="shared" si="0"/>
        <v>0.30769230769230771</v>
      </c>
      <c r="H23" s="1"/>
      <c r="I23" s="24">
        <f t="shared" si="1"/>
        <v>0</v>
      </c>
      <c r="J23" s="11">
        <f t="shared" si="2"/>
        <v>6.7692307692307701</v>
      </c>
      <c r="K23" s="24">
        <f t="shared" si="2"/>
        <v>0</v>
      </c>
      <c r="L23" s="24">
        <f t="shared" si="3"/>
        <v>0</v>
      </c>
    </row>
    <row r="24" spans="1:12" x14ac:dyDescent="0.25">
      <c r="A24" s="1">
        <v>21</v>
      </c>
      <c r="B24" s="1" t="s">
        <v>22</v>
      </c>
      <c r="C24" s="1" t="s">
        <v>100</v>
      </c>
      <c r="D24" s="5" t="s">
        <v>113</v>
      </c>
      <c r="E24" s="1" t="s">
        <v>41</v>
      </c>
      <c r="F24" s="25">
        <v>17</v>
      </c>
      <c r="G24" s="24">
        <f t="shared" si="0"/>
        <v>0.65384615384615385</v>
      </c>
      <c r="H24" s="1"/>
      <c r="I24" s="24">
        <f t="shared" si="1"/>
        <v>0</v>
      </c>
      <c r="J24" s="11">
        <f t="shared" si="2"/>
        <v>14.384615384615385</v>
      </c>
      <c r="K24" s="24">
        <f t="shared" si="2"/>
        <v>0</v>
      </c>
      <c r="L24" s="24">
        <f t="shared" si="3"/>
        <v>0</v>
      </c>
    </row>
    <row r="25" spans="1:12" x14ac:dyDescent="0.25">
      <c r="A25" s="1">
        <v>22</v>
      </c>
      <c r="B25" s="1" t="s">
        <v>23</v>
      </c>
      <c r="C25" t="s">
        <v>115</v>
      </c>
      <c r="D25" s="5" t="s">
        <v>114</v>
      </c>
      <c r="E25" s="1" t="s">
        <v>41</v>
      </c>
      <c r="F25" s="25">
        <v>147</v>
      </c>
      <c r="G25" s="24">
        <f t="shared" si="0"/>
        <v>5.6538461538461542</v>
      </c>
      <c r="H25" s="1"/>
      <c r="I25" s="24">
        <f t="shared" si="1"/>
        <v>0</v>
      </c>
      <c r="J25" s="11">
        <f t="shared" si="2"/>
        <v>124.38461538461539</v>
      </c>
      <c r="K25" s="24">
        <f t="shared" si="2"/>
        <v>0</v>
      </c>
      <c r="L25" s="24">
        <f t="shared" si="3"/>
        <v>0</v>
      </c>
    </row>
    <row r="26" spans="1:12" x14ac:dyDescent="0.25">
      <c r="A26" s="1">
        <v>23</v>
      </c>
      <c r="B26" s="1" t="s">
        <v>24</v>
      </c>
      <c r="C26" s="1" t="s">
        <v>54</v>
      </c>
      <c r="D26" s="6" t="s">
        <v>79</v>
      </c>
      <c r="E26" s="1" t="s">
        <v>41</v>
      </c>
      <c r="F26" s="25">
        <v>22</v>
      </c>
      <c r="G26" s="24">
        <f t="shared" si="0"/>
        <v>0.84615384615384615</v>
      </c>
      <c r="H26" s="1"/>
      <c r="I26" s="24">
        <f t="shared" si="1"/>
        <v>0</v>
      </c>
      <c r="J26" s="11">
        <f t="shared" si="2"/>
        <v>18.615384615384617</v>
      </c>
      <c r="K26" s="24">
        <f t="shared" si="2"/>
        <v>0</v>
      </c>
      <c r="L26" s="24">
        <f t="shared" si="3"/>
        <v>0</v>
      </c>
    </row>
    <row r="27" spans="1:12" x14ac:dyDescent="0.25">
      <c r="A27" s="1">
        <v>24</v>
      </c>
      <c r="B27" s="1" t="s">
        <v>25</v>
      </c>
      <c r="C27" s="1" t="s">
        <v>55</v>
      </c>
      <c r="D27" s="9">
        <v>251953541262</v>
      </c>
      <c r="E27" s="1" t="s">
        <v>41</v>
      </c>
      <c r="F27" s="25">
        <v>26</v>
      </c>
      <c r="G27" s="24">
        <f t="shared" si="0"/>
        <v>1</v>
      </c>
      <c r="H27" s="1"/>
      <c r="I27" s="24">
        <f t="shared" si="1"/>
        <v>0</v>
      </c>
      <c r="J27" s="11">
        <f t="shared" si="2"/>
        <v>22</v>
      </c>
      <c r="K27" s="24">
        <f t="shared" si="2"/>
        <v>0</v>
      </c>
      <c r="L27" s="24">
        <f t="shared" si="3"/>
        <v>0</v>
      </c>
    </row>
    <row r="28" spans="1:12" x14ac:dyDescent="0.25">
      <c r="A28" s="1">
        <v>25</v>
      </c>
      <c r="B28" s="1" t="s">
        <v>26</v>
      </c>
      <c r="C28" s="1" t="s">
        <v>56</v>
      </c>
      <c r="D28" s="6" t="s">
        <v>80</v>
      </c>
      <c r="E28" s="1" t="s">
        <v>41</v>
      </c>
      <c r="F28" s="25">
        <v>10</v>
      </c>
      <c r="G28" s="24">
        <f t="shared" si="0"/>
        <v>0.38461538461538464</v>
      </c>
      <c r="H28" s="1"/>
      <c r="I28" s="24">
        <f t="shared" si="1"/>
        <v>0</v>
      </c>
      <c r="J28" s="11">
        <f t="shared" si="2"/>
        <v>8.4615384615384617</v>
      </c>
      <c r="K28" s="24">
        <f t="shared" si="2"/>
        <v>0</v>
      </c>
      <c r="L28" s="24">
        <f t="shared" si="3"/>
        <v>0</v>
      </c>
    </row>
    <row r="29" spans="1:12" x14ac:dyDescent="0.25">
      <c r="A29" s="1">
        <v>26</v>
      </c>
      <c r="B29" s="1" t="s">
        <v>27</v>
      </c>
      <c r="C29" s="1" t="s">
        <v>101</v>
      </c>
      <c r="D29" s="5" t="s">
        <v>116</v>
      </c>
      <c r="E29" s="1" t="s">
        <v>41</v>
      </c>
      <c r="F29" s="25">
        <v>61</v>
      </c>
      <c r="G29" s="24">
        <f t="shared" si="0"/>
        <v>2.3461538461538463</v>
      </c>
      <c r="H29" s="1"/>
      <c r="I29" s="24">
        <f t="shared" si="1"/>
        <v>0</v>
      </c>
      <c r="J29" s="11">
        <f t="shared" si="2"/>
        <v>51.61538461538462</v>
      </c>
      <c r="K29" s="24">
        <f t="shared" si="2"/>
        <v>0</v>
      </c>
      <c r="L29" s="24">
        <f t="shared" si="3"/>
        <v>0</v>
      </c>
    </row>
    <row r="30" spans="1:12" ht="16.5" x14ac:dyDescent="0.35">
      <c r="A30" s="1">
        <v>27</v>
      </c>
      <c r="B30" s="1" t="s">
        <v>28</v>
      </c>
      <c r="C30" s="3" t="s">
        <v>57</v>
      </c>
      <c r="D30" s="7" t="s">
        <v>81</v>
      </c>
      <c r="E30" s="1" t="s">
        <v>41</v>
      </c>
      <c r="F30" s="25">
        <v>65</v>
      </c>
      <c r="G30" s="24">
        <f t="shared" si="0"/>
        <v>2.5</v>
      </c>
      <c r="H30" s="1"/>
      <c r="I30" s="24">
        <f t="shared" si="1"/>
        <v>0</v>
      </c>
      <c r="J30" s="11">
        <f t="shared" si="2"/>
        <v>55</v>
      </c>
      <c r="K30" s="24">
        <f t="shared" si="2"/>
        <v>0</v>
      </c>
      <c r="L30" s="24">
        <f t="shared" si="3"/>
        <v>0</v>
      </c>
    </row>
    <row r="31" spans="1:12" x14ac:dyDescent="0.25">
      <c r="A31" s="1">
        <v>28</v>
      </c>
      <c r="B31" s="1" t="s">
        <v>29</v>
      </c>
      <c r="C31" s="1" t="s">
        <v>102</v>
      </c>
      <c r="D31" s="5" t="s">
        <v>117</v>
      </c>
      <c r="E31" s="1" t="s">
        <v>41</v>
      </c>
      <c r="F31" s="25">
        <v>38</v>
      </c>
      <c r="G31" s="24">
        <f t="shared" si="0"/>
        <v>1.4615384615384615</v>
      </c>
      <c r="H31" s="1"/>
      <c r="I31" s="24">
        <f t="shared" si="1"/>
        <v>0</v>
      </c>
      <c r="J31" s="11">
        <f t="shared" si="2"/>
        <v>32.153846153846153</v>
      </c>
      <c r="K31" s="24">
        <f t="shared" si="2"/>
        <v>0</v>
      </c>
      <c r="L31" s="24">
        <f t="shared" si="3"/>
        <v>0</v>
      </c>
    </row>
    <row r="32" spans="1:12" x14ac:dyDescent="0.25">
      <c r="A32" s="1">
        <v>29</v>
      </c>
      <c r="B32" s="1" t="s">
        <v>30</v>
      </c>
      <c r="C32" s="1" t="s">
        <v>58</v>
      </c>
      <c r="D32" s="6" t="s">
        <v>82</v>
      </c>
      <c r="E32" s="1" t="s">
        <v>41</v>
      </c>
      <c r="F32" s="25">
        <v>41</v>
      </c>
      <c r="G32" s="24">
        <f t="shared" si="0"/>
        <v>1.5769230769230769</v>
      </c>
      <c r="H32" s="1"/>
      <c r="I32" s="24">
        <f t="shared" si="1"/>
        <v>0</v>
      </c>
      <c r="J32" s="11">
        <f t="shared" si="2"/>
        <v>34.692307692307693</v>
      </c>
      <c r="K32" s="24">
        <f t="shared" si="2"/>
        <v>0</v>
      </c>
      <c r="L32" s="24">
        <f t="shared" si="3"/>
        <v>0</v>
      </c>
    </row>
    <row r="33" spans="1:12" x14ac:dyDescent="0.25">
      <c r="A33" s="1">
        <v>30</v>
      </c>
      <c r="B33" s="1" t="s">
        <v>31</v>
      </c>
      <c r="C33" s="1" t="s">
        <v>59</v>
      </c>
      <c r="D33" s="6" t="s">
        <v>83</v>
      </c>
      <c r="E33" s="1" t="s">
        <v>41</v>
      </c>
      <c r="F33" s="25">
        <v>21</v>
      </c>
      <c r="G33" s="24">
        <f t="shared" si="0"/>
        <v>0.80769230769230771</v>
      </c>
      <c r="H33" s="1"/>
      <c r="I33" s="24">
        <f t="shared" si="1"/>
        <v>0</v>
      </c>
      <c r="J33" s="11">
        <f t="shared" si="2"/>
        <v>17.76923076923077</v>
      </c>
      <c r="K33" s="24">
        <f t="shared" si="2"/>
        <v>0</v>
      </c>
      <c r="L33" s="24">
        <f t="shared" si="3"/>
        <v>0</v>
      </c>
    </row>
    <row r="34" spans="1:12" x14ac:dyDescent="0.25">
      <c r="A34" s="1">
        <v>31</v>
      </c>
      <c r="B34" s="1" t="s">
        <v>32</v>
      </c>
      <c r="C34" s="1" t="s">
        <v>60</v>
      </c>
      <c r="D34" s="6" t="s">
        <v>84</v>
      </c>
      <c r="E34" s="1" t="s">
        <v>41</v>
      </c>
      <c r="F34" s="25">
        <v>30</v>
      </c>
      <c r="G34" s="24">
        <f t="shared" si="0"/>
        <v>1.1538461538461537</v>
      </c>
      <c r="H34" s="1"/>
      <c r="I34" s="24">
        <f t="shared" si="1"/>
        <v>0</v>
      </c>
      <c r="J34" s="11">
        <f t="shared" si="2"/>
        <v>25.384615384615383</v>
      </c>
      <c r="K34" s="24">
        <f t="shared" si="2"/>
        <v>0</v>
      </c>
      <c r="L34" s="24">
        <f t="shared" si="3"/>
        <v>0</v>
      </c>
    </row>
    <row r="35" spans="1:12" x14ac:dyDescent="0.25">
      <c r="A35" s="1">
        <v>32</v>
      </c>
      <c r="B35" s="1" t="s">
        <v>33</v>
      </c>
      <c r="C35" s="1" t="s">
        <v>103</v>
      </c>
      <c r="D35" s="5" t="s">
        <v>118</v>
      </c>
      <c r="E35" s="1" t="s">
        <v>41</v>
      </c>
      <c r="F35" s="25">
        <v>11</v>
      </c>
      <c r="G35" s="24">
        <f t="shared" si="0"/>
        <v>0.42307692307692307</v>
      </c>
      <c r="H35" s="1"/>
      <c r="I35" s="24">
        <f t="shared" si="1"/>
        <v>0</v>
      </c>
      <c r="J35" s="11">
        <f t="shared" si="2"/>
        <v>9.3076923076923084</v>
      </c>
      <c r="K35" s="24">
        <f t="shared" si="2"/>
        <v>0</v>
      </c>
      <c r="L35" s="24">
        <f t="shared" si="3"/>
        <v>0</v>
      </c>
    </row>
    <row r="36" spans="1:12" x14ac:dyDescent="0.25">
      <c r="A36" s="1">
        <v>33</v>
      </c>
      <c r="B36" s="1" t="s">
        <v>34</v>
      </c>
      <c r="C36" t="s">
        <v>104</v>
      </c>
      <c r="D36" s="5" t="s">
        <v>119</v>
      </c>
      <c r="E36" s="1" t="s">
        <v>41</v>
      </c>
      <c r="F36" s="25">
        <v>75</v>
      </c>
      <c r="G36" s="24">
        <f t="shared" si="0"/>
        <v>2.8846153846153846</v>
      </c>
      <c r="H36" s="1"/>
      <c r="I36" s="24">
        <f t="shared" si="1"/>
        <v>0</v>
      </c>
      <c r="J36" s="11">
        <f t="shared" si="2"/>
        <v>63.46153846153846</v>
      </c>
      <c r="K36" s="24">
        <f t="shared" si="2"/>
        <v>0</v>
      </c>
      <c r="L36" s="24">
        <f t="shared" si="3"/>
        <v>0</v>
      </c>
    </row>
    <row r="37" spans="1:12" x14ac:dyDescent="0.25">
      <c r="A37" s="1">
        <v>34</v>
      </c>
      <c r="B37" s="1" t="s">
        <v>35</v>
      </c>
      <c r="C37" t="s">
        <v>64</v>
      </c>
      <c r="D37" s="8" t="s">
        <v>85</v>
      </c>
      <c r="E37" s="1" t="s">
        <v>41</v>
      </c>
      <c r="F37" s="25">
        <v>123</v>
      </c>
      <c r="G37" s="24">
        <f t="shared" si="0"/>
        <v>4.7307692307692308</v>
      </c>
      <c r="H37" s="1"/>
      <c r="I37" s="24">
        <f t="shared" si="1"/>
        <v>0</v>
      </c>
      <c r="J37" s="11">
        <f t="shared" si="2"/>
        <v>104.07692307692308</v>
      </c>
      <c r="K37" s="24">
        <f t="shared" si="2"/>
        <v>0</v>
      </c>
      <c r="L37" s="24">
        <f t="shared" si="3"/>
        <v>0</v>
      </c>
    </row>
    <row r="38" spans="1:12" x14ac:dyDescent="0.25">
      <c r="A38" s="1">
        <v>35</v>
      </c>
      <c r="B38" s="1" t="s">
        <v>36</v>
      </c>
      <c r="C38" s="1" t="s">
        <v>61</v>
      </c>
      <c r="D38" s="6" t="s">
        <v>86</v>
      </c>
      <c r="E38" s="1" t="s">
        <v>41</v>
      </c>
      <c r="F38" s="25">
        <v>49</v>
      </c>
      <c r="G38" s="24">
        <f t="shared" si="0"/>
        <v>1.8846153846153846</v>
      </c>
      <c r="H38" s="26"/>
      <c r="I38" s="24">
        <f t="shared" si="1"/>
        <v>0</v>
      </c>
      <c r="J38" s="11">
        <f t="shared" si="2"/>
        <v>41.46153846153846</v>
      </c>
      <c r="K38" s="24">
        <f t="shared" si="2"/>
        <v>0</v>
      </c>
      <c r="L38" s="24">
        <f t="shared" si="3"/>
        <v>0</v>
      </c>
    </row>
    <row r="39" spans="1:12" x14ac:dyDescent="0.25">
      <c r="A39" s="1">
        <v>36</v>
      </c>
      <c r="B39" s="1" t="s">
        <v>37</v>
      </c>
      <c r="C39" t="s">
        <v>120</v>
      </c>
      <c r="D39" s="5" t="s">
        <v>121</v>
      </c>
      <c r="E39" s="1" t="s">
        <v>41</v>
      </c>
      <c r="F39" s="25">
        <v>75</v>
      </c>
      <c r="G39" s="24">
        <f t="shared" si="0"/>
        <v>2.8846153846153846</v>
      </c>
      <c r="H39" s="1"/>
      <c r="I39" s="24">
        <f t="shared" si="1"/>
        <v>0</v>
      </c>
      <c r="J39" s="11">
        <f t="shared" si="2"/>
        <v>63.46153846153846</v>
      </c>
      <c r="K39" s="24">
        <f t="shared" si="2"/>
        <v>0</v>
      </c>
      <c r="L39" s="24">
        <f t="shared" si="3"/>
        <v>0</v>
      </c>
    </row>
    <row r="40" spans="1:12" x14ac:dyDescent="0.25">
      <c r="A40" s="1">
        <v>37</v>
      </c>
      <c r="B40" s="1" t="s">
        <v>38</v>
      </c>
      <c r="C40" s="1" t="s">
        <v>62</v>
      </c>
      <c r="D40" s="6" t="s">
        <v>87</v>
      </c>
      <c r="E40" s="1" t="s">
        <v>41</v>
      </c>
      <c r="F40" s="25">
        <v>10</v>
      </c>
      <c r="G40" s="24">
        <f t="shared" si="0"/>
        <v>0.38461538461538464</v>
      </c>
      <c r="H40" s="1"/>
      <c r="I40" s="24">
        <f t="shared" si="1"/>
        <v>0</v>
      </c>
      <c r="J40" s="11">
        <f t="shared" si="2"/>
        <v>8.4615384615384617</v>
      </c>
      <c r="K40" s="24">
        <f t="shared" si="2"/>
        <v>0</v>
      </c>
      <c r="L40" s="24">
        <f t="shared" si="3"/>
        <v>0</v>
      </c>
    </row>
    <row r="41" spans="1:12" x14ac:dyDescent="0.25">
      <c r="A41" s="1">
        <v>38</v>
      </c>
      <c r="B41" s="10" t="s">
        <v>39</v>
      </c>
      <c r="C41" s="10" t="s">
        <v>63</v>
      </c>
      <c r="D41" s="16" t="s">
        <v>88</v>
      </c>
      <c r="E41" s="10" t="s">
        <v>41</v>
      </c>
      <c r="F41" s="25">
        <v>24</v>
      </c>
      <c r="G41" s="27">
        <f t="shared" si="0"/>
        <v>0.92307692307692313</v>
      </c>
      <c r="H41" s="10"/>
      <c r="I41" s="27">
        <f t="shared" si="1"/>
        <v>0</v>
      </c>
      <c r="J41" s="15">
        <f t="shared" si="2"/>
        <v>20.30769230769231</v>
      </c>
      <c r="K41" s="27">
        <f t="shared" si="2"/>
        <v>0</v>
      </c>
      <c r="L41" s="27">
        <f t="shared" si="3"/>
        <v>0</v>
      </c>
    </row>
    <row r="42" spans="1:12" x14ac:dyDescent="0.25">
      <c r="B42" s="39" t="s">
        <v>95</v>
      </c>
      <c r="C42" s="39"/>
      <c r="D42" s="39"/>
      <c r="E42" s="39"/>
      <c r="F42" s="28">
        <f>SUM(F4:F41)</f>
        <v>1759</v>
      </c>
      <c r="G42" s="28">
        <f>SUM(G4:G41)</f>
        <v>67.65384615384616</v>
      </c>
      <c r="H42" s="26"/>
      <c r="I42" s="29">
        <f t="shared" si="1"/>
        <v>0</v>
      </c>
      <c r="J42" s="30">
        <f t="shared" si="2"/>
        <v>1488.3846153846155</v>
      </c>
      <c r="K42" s="29">
        <f>SUM(K4:K41)</f>
        <v>0</v>
      </c>
      <c r="L42" s="29">
        <f>SUM(L4:L41)</f>
        <v>0</v>
      </c>
    </row>
  </sheetData>
  <mergeCells count="3">
    <mergeCell ref="A1:L1"/>
    <mergeCell ref="A2:L2"/>
    <mergeCell ref="B42:E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michu</vt:lpstr>
      <vt:lpstr>retention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Negasa Senbeta Wakesa</dc:creator>
  <cp:lastModifiedBy>COOP</cp:lastModifiedBy>
  <dcterms:created xsi:type="dcterms:W3CDTF">2026-04-15T13:12:10Z</dcterms:created>
  <dcterms:modified xsi:type="dcterms:W3CDTF">2026-06-15T05:15:13Z</dcterms:modified>
</cp:coreProperties>
</file>